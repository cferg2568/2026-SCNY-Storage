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CodyFerguson\LWA Dropbox\Cody Ferguson\SCNY_archive\SCNY\"/>
    </mc:Choice>
  </mc:AlternateContent>
  <xr:revisionPtr revIDLastSave="0" documentId="13_ncr:1_{67655816-EF95-4989-966F-2C94935A5A88}" xr6:coauthVersionLast="47" xr6:coauthVersionMax="47" xr10:uidLastSave="{00000000-0000-0000-0000-000000000000}"/>
  <bookViews>
    <workbookView xWindow="-110" yWindow="-110" windowWidth="19420" windowHeight="11500" xr2:uid="{00000000-000D-0000-FFFF-FFFF00000000}"/>
  </bookViews>
  <sheets>
    <sheet name="Sheet1" sheetId="1" r:id="rId1"/>
    <sheet name="Sheet2" sheetId="2" r:id="rId2"/>
  </sheets>
  <definedNames>
    <definedName name="_xlnm._FilterDatabase" localSheetId="0" hidden="1">Sheet1!$AL$1:$AL$480</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<sst xmlns="http://schemas.openxmlformats.org/spreadsheetml/2006/main" count="2901" uniqueCount="734">
  <si>
    <t>Well Key</t>
  </si>
  <si>
    <t>Associated GSA/Alternative</t>
  </si>
  <si>
    <t>Site Code</t>
  </si>
  <si>
    <t>GSP/Alternative ID</t>
  </si>
  <si>
    <t>Local Well Name</t>
  </si>
  <si>
    <t>State Well Number</t>
  </si>
  <si>
    <t>Monitoring Network Type</t>
  </si>
  <si>
    <t>Reference Point Elevation (feet)</t>
  </si>
  <si>
    <t>Reference Point Description</t>
  </si>
  <si>
    <t>Ground Surface Elevation (feet)</t>
  </si>
  <si>
    <t>Elevation Method</t>
  </si>
  <si>
    <t>Elevation Accuracy</t>
  </si>
  <si>
    <t>Well Use Type</t>
  </si>
  <si>
    <t>Latitude</t>
  </si>
  <si>
    <t>Longitude</t>
  </si>
  <si>
    <t>Coordinates Method</t>
  </si>
  <si>
    <t>Coordinates Accuracy</t>
  </si>
  <si>
    <t>Principal Aquifer</t>
  </si>
  <si>
    <t>Well Completion Type</t>
  </si>
  <si>
    <t>Well Depth 
(feet bgs)</t>
  </si>
  <si>
    <t>Well Completion Report Number</t>
  </si>
  <si>
    <t>Well Location Description</t>
  </si>
  <si>
    <t>Additional Comments</t>
  </si>
  <si>
    <t>County</t>
  </si>
  <si>
    <t>Top Perforation</t>
  </si>
  <si>
    <t>Bottom Perforation</t>
  </si>
  <si>
    <t>Sustainability Indicator - Groundwater Levels</t>
  </si>
  <si>
    <t>Sustainability Indicator - Groundwater Storage</t>
  </si>
  <si>
    <t>Sustainability Indicator - Seawater Intrusion</t>
  </si>
  <si>
    <t>Sustainability Indicator - Water Quality</t>
  </si>
  <si>
    <t>Sustainability Indicator - Land Subsidence</t>
  </si>
  <si>
    <t>Sustainability Indicator - Interconnected Surface Waters</t>
  </si>
  <si>
    <t>Start Date
(mm/dd/yyyy)</t>
  </si>
  <si>
    <t>5-Year Interim Milestone
(feet)</t>
  </si>
  <si>
    <t>10-Year Interim Milestone
(feet)</t>
  </si>
  <si>
    <t>15-Year Interim Milestone
(feet)</t>
  </si>
  <si>
    <t>Measurable Objective
(feet)</t>
  </si>
  <si>
    <t>Minimum Threshold
(feet)</t>
  </si>
  <si>
    <t>Sustainable Management Criteria Comments</t>
  </si>
  <si>
    <t>Colusa Groundwater Authority GSA - Colusa</t>
  </si>
  <si>
    <t>Surveyed to a benchmark</t>
  </si>
  <si>
    <t>0.1 ft.</t>
  </si>
  <si>
    <t>Monitoring</t>
  </si>
  <si>
    <t>39.053983</t>
  </si>
  <si>
    <t>-122.060672</t>
  </si>
  <si>
    <t>Other</t>
  </si>
  <si>
    <t>10 ft.</t>
  </si>
  <si>
    <t>Tehama</t>
  </si>
  <si>
    <t>Part of a nested/multi-completion well</t>
  </si>
  <si>
    <t>WCR2020-003773</t>
  </si>
  <si>
    <t>Well is located south of Hahn Rd. 1 mile east of Lone Star Rd. east of the barn and windmill.</t>
  </si>
  <si>
    <t>TSS Well</t>
  </si>
  <si>
    <t>Colusa</t>
  </si>
  <si>
    <t>Yes</t>
  </si>
  <si>
    <t>No</t>
  </si>
  <si>
    <t/>
  </si>
  <si>
    <t>389916N1220141W001</t>
  </si>
  <si>
    <t>13N01W07G001M</t>
  </si>
  <si>
    <t>SGMA Representative</t>
  </si>
  <si>
    <t>Plug at TOC; west side.</t>
  </si>
  <si>
    <t>USGS quad</t>
  </si>
  <si>
    <t>5 ft.</t>
  </si>
  <si>
    <t>Irrigation</t>
  </si>
  <si>
    <t>38.99161</t>
  </si>
  <si>
    <t>-122.01411</t>
  </si>
  <si>
    <t>Digital aerial photo</t>
  </si>
  <si>
    <t>Alluvium</t>
  </si>
  <si>
    <t>Single Well</t>
  </si>
  <si>
    <t>2868</t>
  </si>
  <si>
    <t>From intersection of Friel and College City Road, 0.4 miles west on Friel; well is 150 feet north of road.</t>
  </si>
  <si>
    <t>01/31/2022</t>
  </si>
  <si>
    <t>391330N1222165W002</t>
  </si>
  <si>
    <t>15N03W20Q002M-INTER</t>
  </si>
  <si>
    <t>15N03W20Q002M</t>
  </si>
  <si>
    <t>Top of middle piezo.</t>
  </si>
  <si>
    <t>39.133</t>
  </si>
  <si>
    <t>-122.216447</t>
  </si>
  <si>
    <t>WCR2009-008131</t>
  </si>
  <si>
    <t>From intersection of Highway 20 and East Camp Road, 1.35 miles south on East Camp to Pumphouse Road.  30 yard east of GCID canal, north of Pumphouse Road 50 yards.</t>
  </si>
  <si>
    <t>Effective screen area from 121' to 180'.</t>
  </si>
  <si>
    <t>390317N1220991W001</t>
  </si>
  <si>
    <t>14N02W29J001M</t>
  </si>
  <si>
    <t>None Provided</t>
  </si>
  <si>
    <t>39.03171</t>
  </si>
  <si>
    <t>-122.09911</t>
  </si>
  <si>
    <t>GPS</t>
  </si>
  <si>
    <t>30 ft.</t>
  </si>
  <si>
    <t>44455</t>
  </si>
  <si>
    <t>"LORENS, 1977" test hole to 924'</t>
  </si>
  <si>
    <t>389937N1218240W001</t>
  </si>
  <si>
    <t>13N01E11A001M</t>
  </si>
  <si>
    <t>pipe plug hole</t>
  </si>
  <si>
    <t>Domestic</t>
  </si>
  <si>
    <t>38.99371</t>
  </si>
  <si>
    <t>-121.824</t>
  </si>
  <si>
    <t>Unknown</t>
  </si>
  <si>
    <t>2865</t>
  </si>
  <si>
    <t>2.2 miles north on Wilson Bend Road from intersection with HWY 45. ~ 90' west of road at NE corner of manufactured home</t>
  </si>
  <si>
    <t>DWR Surveyed well in 2022.</t>
  </si>
  <si>
    <t>390602N1220411W001</t>
  </si>
  <si>
    <t>14N02W13N001M</t>
  </si>
  <si>
    <t>39.06021</t>
  </si>
  <si>
    <t>-122.04111</t>
  </si>
  <si>
    <t>Alluvium, Tehama</t>
  </si>
  <si>
    <t>3027</t>
  </si>
  <si>
    <t>"LORENS, 1977"</t>
  </si>
  <si>
    <t>391826N1219935W001</t>
  </si>
  <si>
    <t>15N01W05G001M</t>
  </si>
  <si>
    <t>39.18261</t>
  </si>
  <si>
    <t>-121.99351</t>
  </si>
  <si>
    <t>12982</t>
  </si>
  <si>
    <t>Colusa County Airport</t>
  </si>
  <si>
    <t>"LORENS, 1977" Well log stated cased to 75'; Open hole  75' to 140'</t>
  </si>
  <si>
    <t>391401N1221325W001</t>
  </si>
  <si>
    <t>15N02W19E001M</t>
  </si>
  <si>
    <t>Top of casing under metal lid.</t>
  </si>
  <si>
    <t>39.14017</t>
  </si>
  <si>
    <t>-122.13261</t>
  </si>
  <si>
    <t>71038</t>
  </si>
  <si>
    <t>From intersection of Highway 20 and Husted Road, 2.35 miles south on Husted.  East of road behind bushes.</t>
  </si>
  <si>
    <t>"LORENS, 1977"  Pump removed ~2014. DWR Surveyed well in 2022.</t>
  </si>
  <si>
    <t>392753N1221057W003</t>
  </si>
  <si>
    <t>16N02W05B003M-SHAL</t>
  </si>
  <si>
    <t>16N02W05B003M</t>
  </si>
  <si>
    <t>Refer to picture.</t>
  </si>
  <si>
    <t>39.275273</t>
  </si>
  <si>
    <t>-122.105677</t>
  </si>
  <si>
    <t>WCR2003-009690</t>
  </si>
  <si>
    <t>From intersection of Highway 45 and Maxwell Road, 2.3 miles west on Maxwell.  In shed, south of road.</t>
  </si>
  <si>
    <t>Cellar from 256' to 276' with endcap. Effective screen area from 115' to 301'.</t>
  </si>
  <si>
    <t>393417N1220838W003</t>
  </si>
  <si>
    <t>17N02W09H004M-SHAL</t>
  </si>
  <si>
    <t>17N02W09H004M</t>
  </si>
  <si>
    <t>Top of northernmost piezo.</t>
  </si>
  <si>
    <t>39.3417</t>
  </si>
  <si>
    <t>-122.0838</t>
  </si>
  <si>
    <t>WCR2003-009204</t>
  </si>
  <si>
    <t>From curve on Hy 45, 2.6 miles west on Willow Creek dirt road.  In shed north of ditch.  North East corner of Delevan Refuge, Tuttle Property (deep)</t>
  </si>
  <si>
    <t>Tuttle Property (shallow). Cellar from 250' to 260' with endcap. Effective screen area from 190' to 302'.</t>
  </si>
  <si>
    <t>390124N1218291W003</t>
  </si>
  <si>
    <t>14N01E35P003M</t>
  </si>
  <si>
    <t>39.0124</t>
  </si>
  <si>
    <t>-121.8291</t>
  </si>
  <si>
    <t>WCR2010-007941</t>
  </si>
  <si>
    <t>Cellar from 225' to 245' with endcap. Effective screen area from 123' to 275'.</t>
  </si>
  <si>
    <t>392414N1221535W004</t>
  </si>
  <si>
    <t>16N03W14H006M-XSHAL</t>
  </si>
  <si>
    <t>16N03W14H006M</t>
  </si>
  <si>
    <t>Top of shortest 2.5" PVC.</t>
  </si>
  <si>
    <t>39.241483</t>
  </si>
  <si>
    <t>-122.153538</t>
  </si>
  <si>
    <t>WCR2010-008263</t>
  </si>
  <si>
    <t>From intersection of Maxwell Road and 2 Mile road, south on 2 Mile 2.4 miles.  Approximately 30 yards south of irrigation ditch crossing.  Yellow can 30 feet west of road.</t>
  </si>
  <si>
    <t>Cellar from 305' to 315' with endcap. Effective screen area from 270' to 378'.</t>
  </si>
  <si>
    <t>389694N1219259W003</t>
  </si>
  <si>
    <t>LCB-1 Shallow</t>
  </si>
  <si>
    <t>13N01W13P003M</t>
  </si>
  <si>
    <t>38.96935</t>
  </si>
  <si>
    <t>-121.92587</t>
  </si>
  <si>
    <t>Colusa Basin Drain, North of White Rd. 10/23/2014 This well was associated with the Yolo WRA CASGEM monitoring entity at the request of DWR. Although this well is within the Yolo WRA ME geographic region, this well is not monitored by the Yolo WRA.</t>
  </si>
  <si>
    <t>This site was surveyed by DWR in late 2014.  The new RP and GS elevations reflect the elevations reported in the SR-14-20 - Sacramento Valley NCRO Well Site Survey Report dated 1/14/2015.</t>
  </si>
  <si>
    <t>389249N1219140W003</t>
  </si>
  <si>
    <t>LCB-4 Shallow</t>
  </si>
  <si>
    <t>12N01E06D004M</t>
  </si>
  <si>
    <t>TOC</t>
  </si>
  <si>
    <t>38.9249</t>
  </si>
  <si>
    <t>-121.914</t>
  </si>
  <si>
    <t>GPS with WAAS</t>
  </si>
  <si>
    <t>Yolo</t>
  </si>
  <si>
    <t>390540N1220607W008</t>
  </si>
  <si>
    <t>14N02W22A005M</t>
  </si>
  <si>
    <t>Top of Shortest Casing</t>
  </si>
  <si>
    <t>The monitoring well completion used as the RMS well and the SMC associated with this RMS well were updated during GSP revisions process (April 2024).</t>
  </si>
  <si>
    <t>390576N1221586W001</t>
  </si>
  <si>
    <t>14N03W14Q003M</t>
  </si>
  <si>
    <t>Open hole in pump base.  Feed steel tape through chain link fence.  Very oily!</t>
  </si>
  <si>
    <t>39.05761</t>
  </si>
  <si>
    <t>-122.15861</t>
  </si>
  <si>
    <t>20032</t>
  </si>
  <si>
    <t>From intersect of Cortina School and Hahn Road, 0.85 miles west on Hahn.  In chain link enclosure, north side of road.</t>
  </si>
  <si>
    <t>Depth of Completed Well is 685', Assume Open hole 685 to 704'</t>
  </si>
  <si>
    <t>392165N1220312W001</t>
  </si>
  <si>
    <t>16N02W25B002M</t>
  </si>
  <si>
    <t>39.21651</t>
  </si>
  <si>
    <t>-122.03121</t>
  </si>
  <si>
    <t>Owner's Log</t>
  </si>
  <si>
    <t>Well construction provided from owner's log.</t>
  </si>
  <si>
    <t>393772N1220298W001</t>
  </si>
  <si>
    <t>18N02W36B001M</t>
  </si>
  <si>
    <t>Through square hole in disk blade on top of well.</t>
  </si>
  <si>
    <t>39.37721</t>
  </si>
  <si>
    <t>-122.02981</t>
  </si>
  <si>
    <t>177869</t>
  </si>
  <si>
    <t>6938 Dodge Rd.  Abandoned well ~ 40' south of road.  Metal disk on top of hole.</t>
  </si>
  <si>
    <t>"LORENS, 1977"  Abandoned irrigation well.</t>
  </si>
  <si>
    <t>390930N1219767W001</t>
  </si>
  <si>
    <t>14N01W04K003M</t>
  </si>
  <si>
    <t>Top of casing under pump base, northwest side.</t>
  </si>
  <si>
    <t>39.09301</t>
  </si>
  <si>
    <t>-121.97671</t>
  </si>
  <si>
    <t>USGS Well Log</t>
  </si>
  <si>
    <t>Sachreiter Road, between Sycamore and Dry Slough Roads, North of Grimes Arbuckle Road</t>
  </si>
  <si>
    <t>"LORENS, 1977"  Unused well.  No power. USGS Well Log.</t>
  </si>
  <si>
    <t>389634N1221009W001</t>
  </si>
  <si>
    <t>13N02W20H002M</t>
  </si>
  <si>
    <t>38.96341</t>
  </si>
  <si>
    <t>-122.10091</t>
  </si>
  <si>
    <t>423344</t>
  </si>
  <si>
    <t>393352N1222124W001</t>
  </si>
  <si>
    <t>17N03W08R001M</t>
  </si>
  <si>
    <t>39.33521</t>
  </si>
  <si>
    <t>-122.21241</t>
  </si>
  <si>
    <t>49451</t>
  </si>
  <si>
    <t>Lennan Road, West of I-5, between Sutter and McDermott</t>
  </si>
  <si>
    <t>389898N1220375W001</t>
  </si>
  <si>
    <t>13N02W12L001M</t>
  </si>
  <si>
    <t>38.98981</t>
  </si>
  <si>
    <t>-122.03751</t>
  </si>
  <si>
    <t>115408</t>
  </si>
  <si>
    <t>389553N1219631W001</t>
  </si>
  <si>
    <t>13N01W22P002M</t>
  </si>
  <si>
    <t>38.95531</t>
  </si>
  <si>
    <t>-121.96311</t>
  </si>
  <si>
    <t>40376</t>
  </si>
  <si>
    <t>392629N1222754W001</t>
  </si>
  <si>
    <t>16N04W02P001M</t>
  </si>
  <si>
    <t>Stockwatering</t>
  </si>
  <si>
    <t>39.2629</t>
  </si>
  <si>
    <t>-122.2754</t>
  </si>
  <si>
    <t>77484</t>
  </si>
  <si>
    <t>"LORENS, 1977". DWR Surveyed well in 2022.</t>
  </si>
  <si>
    <t>392870N1222095W001</t>
  </si>
  <si>
    <t>17N03W32H001M</t>
  </si>
  <si>
    <t>39.2861</t>
  </si>
  <si>
    <t>-122.2105</t>
  </si>
  <si>
    <t>93568</t>
  </si>
  <si>
    <t>Well completed to 112'; Open hole 112' to 140'. DWR Surveyed well in 2022.</t>
  </si>
  <si>
    <t>392954N1221212W001</t>
  </si>
  <si>
    <t>17N02W30J002M</t>
  </si>
  <si>
    <t>39.29541</t>
  </si>
  <si>
    <t>-122.12121</t>
  </si>
  <si>
    <t>57983</t>
  </si>
  <si>
    <t>390569N1221435W001</t>
  </si>
  <si>
    <t>14N03W24C001M</t>
  </si>
  <si>
    <t>39.05691</t>
  </si>
  <si>
    <t>-122.14351</t>
  </si>
  <si>
    <t>72290</t>
  </si>
  <si>
    <t>389763N1220616W001</t>
  </si>
  <si>
    <t>13N02W15J001M</t>
  </si>
  <si>
    <t>Hole in plate; remove north bolt.</t>
  </si>
  <si>
    <t>38.97631</t>
  </si>
  <si>
    <t>-122.06161</t>
  </si>
  <si>
    <t>77457</t>
  </si>
  <si>
    <t>From intersection of Green Bay and Wildwood Road, 0.75 miles north on Wildwood; well is 125' west of road, and 30' north of house on concrete pad.</t>
  </si>
  <si>
    <t>391614N1222138W001</t>
  </si>
  <si>
    <t>GCID Reister 4</t>
  </si>
  <si>
    <t>15N03W08Q001M</t>
  </si>
  <si>
    <t>access plug E side of pump</t>
  </si>
  <si>
    <t>39.16139</t>
  </si>
  <si>
    <t>-122.21378</t>
  </si>
  <si>
    <t>1 ft.</t>
  </si>
  <si>
    <t>492125</t>
  </si>
  <si>
    <t>0.62 mi. NE of Hwy. 20 and East Camp Rd.</t>
  </si>
  <si>
    <t>Glenn Groundwater Authority GSA</t>
  </si>
  <si>
    <t>Top of highest casing.</t>
  </si>
  <si>
    <t>39.7043</t>
  </si>
  <si>
    <t>-122.0386</t>
  </si>
  <si>
    <t>Surveyed</t>
  </si>
  <si>
    <t>Modesto</t>
  </si>
  <si>
    <t>726741</t>
  </si>
  <si>
    <t>1/2 mile south of Road 24 and 1.5 miles west of Highway 45, then 750 feet west into orchard.</t>
  </si>
  <si>
    <t>Glenn</t>
  </si>
  <si>
    <t>397043N1220386W001</t>
  </si>
  <si>
    <t>21N02W01F003M</t>
  </si>
  <si>
    <t>Top of lowest casing.</t>
  </si>
  <si>
    <t>Modesto Formation. Effective screen area from 100' to 119'.</t>
  </si>
  <si>
    <t>397473N1221559W002</t>
  </si>
  <si>
    <t>22N03W24E002M</t>
  </si>
  <si>
    <t>Top of intermediate PVC casing.</t>
  </si>
  <si>
    <t>39.747338</t>
  </si>
  <si>
    <t>-122.155925</t>
  </si>
  <si>
    <t>WCR2004-009689</t>
  </si>
  <si>
    <t>1/10 mile east of Road N and 50 feet north of Highway 32.</t>
  </si>
  <si>
    <t>Modesto Formation. Cellar from 178' to 193' with end cap. Effective area from 98' to 225'.</t>
  </si>
  <si>
    <t>397033N1220910W003</t>
  </si>
  <si>
    <t>21N02W04G004M</t>
  </si>
  <si>
    <t>Top of next to highest PVC casing.</t>
  </si>
  <si>
    <t>39.7033</t>
  </si>
  <si>
    <t>-122.091</t>
  </si>
  <si>
    <t>WCR2006-008683</t>
  </si>
  <si>
    <t>From intersection of Road 24 and Road S, 1 mile east, then 0.5 mile south along paved private road, then 0.35 miles west along south side of orchard.</t>
  </si>
  <si>
    <t>Tehama Formation. Cellar from 67' to 77' with endcap. Effective screen area from 44' to 99'.</t>
  </si>
  <si>
    <t>396244N1221872W003</t>
  </si>
  <si>
    <t>21N03W34Q004M</t>
  </si>
  <si>
    <t>39.6244</t>
  </si>
  <si>
    <t>-122.1872</t>
  </si>
  <si>
    <t>WCR2005-009772</t>
  </si>
  <si>
    <t>1 mile east of Highway 99 and 50 feet north of Road 33</t>
  </si>
  <si>
    <t>Cellar from 68' to 78' with endcap. Effective screen area from 43' to 108'.</t>
  </si>
  <si>
    <t>396963N1221406W001</t>
  </si>
  <si>
    <t>OAWD-Mon Well</t>
  </si>
  <si>
    <t>21N03W01R002M</t>
  </si>
  <si>
    <t>Bottom of hole cut in PVC pipe.</t>
  </si>
  <si>
    <t>39.6963</t>
  </si>
  <si>
    <t>-122.1406</t>
  </si>
  <si>
    <t>WCR2003-009809</t>
  </si>
  <si>
    <t>Intersection of Road 25 and Road P; northwest side.  Small PVC pipe inside fenced enclosure.</t>
  </si>
  <si>
    <t>see also log 726925</t>
  </si>
  <si>
    <t>396299N1221007W003</t>
  </si>
  <si>
    <t>21N02W33M003M</t>
  </si>
  <si>
    <t>Top of highest 2" casing.</t>
  </si>
  <si>
    <t>39.6299</t>
  </si>
  <si>
    <t>-122.1007</t>
  </si>
  <si>
    <t>WCR2002-009790</t>
  </si>
  <si>
    <t>From intersection of Road 33 and County Road R, 0.45 miles north on Road R, then 950 feet east past buildings to shed.</t>
  </si>
  <si>
    <t>Tehama Formation. Cellar from 150' to 171' with endcap. Effective screen area from 95' to 210'.</t>
  </si>
  <si>
    <t>395595N1220326W004</t>
  </si>
  <si>
    <t>20N02W25F004M</t>
  </si>
  <si>
    <t>Top of highest casing</t>
  </si>
  <si>
    <t>39.559487</t>
  </si>
  <si>
    <t>-122.032631</t>
  </si>
  <si>
    <t>WCR2002-009883</t>
  </si>
  <si>
    <t>1.7 miles west on County Road 44, 1.7 miles east of Road V; inside farm equipment field north of houses.</t>
  </si>
  <si>
    <t>Tehama Formation. Cellar from 65' to 85' with endcap. Effective screen area from 35' to 101'.</t>
  </si>
  <si>
    <t>395855N1221170W004</t>
  </si>
  <si>
    <t>20N02W18R008M</t>
  </si>
  <si>
    <t>39.5855</t>
  </si>
  <si>
    <t>-122.117</t>
  </si>
  <si>
    <t>WCR2002-009854</t>
  </si>
  <si>
    <t>1/4 mile north of intersection of County Road 39 and Road R at GCID canal.</t>
  </si>
  <si>
    <t>Cellar from 180' to 201' with endcap. Effective screen area from 122' to 225'.</t>
  </si>
  <si>
    <t>396355N1220331W001</t>
  </si>
  <si>
    <t>21N02W36A002M</t>
  </si>
  <si>
    <t>Top of chip board inside casing.</t>
  </si>
  <si>
    <t>39.6355</t>
  </si>
  <si>
    <t>-122.0331</t>
  </si>
  <si>
    <t>WCR1989-014952</t>
  </si>
  <si>
    <t>1/4 mile north of Road 32 and east of Road WW at the GCID canal</t>
  </si>
  <si>
    <t>Effective area from 110' to 155'.</t>
  </si>
  <si>
    <t>394559N1220854W001</t>
  </si>
  <si>
    <t>19N02W33K001M</t>
  </si>
  <si>
    <t>Top of sounding pipe, west side.</t>
  </si>
  <si>
    <t>39.45469</t>
  </si>
  <si>
    <t>-122.08402</t>
  </si>
  <si>
    <t>581475</t>
  </si>
  <si>
    <t>East side of slough 770 feet south of County Road 61.  White metal box on top of old well.</t>
  </si>
  <si>
    <t>Datalogger removed and pump re-installed.</t>
  </si>
  <si>
    <t>Top of highest PVC casing.</t>
  </si>
  <si>
    <t>39.7325</t>
  </si>
  <si>
    <t>-122.1233</t>
  </si>
  <si>
    <t>Tehama, Modesto</t>
  </si>
  <si>
    <t>WCR2004-009686</t>
  </si>
  <si>
    <t>0.9 mile east of Road P on County Road 18, 80 feet north of road in mature walnut orchard.</t>
  </si>
  <si>
    <t>396049N1222495W004</t>
  </si>
  <si>
    <t>20N03W07E004M</t>
  </si>
  <si>
    <t>39.6049</t>
  </si>
  <si>
    <t>-122.2495</t>
  </si>
  <si>
    <t>WCR2007-007888</t>
  </si>
  <si>
    <t>1/2 mile south of Road 35 and 50 feet east of Road D</t>
  </si>
  <si>
    <t>TEHAMA FORMATION. Cellar from 128' to 138' with endcap. Effective screen area from 95' to 160'.</t>
  </si>
  <si>
    <t>397008N1221208W002</t>
  </si>
  <si>
    <t>21N02W05M002M</t>
  </si>
  <si>
    <t>Top of middle casing.</t>
  </si>
  <si>
    <t>39.7008</t>
  </si>
  <si>
    <t>-122.1208</t>
  </si>
  <si>
    <t>WCR2002-009839</t>
  </si>
  <si>
    <t>1/4 mile north-east of the intersection of Road 25 and Road QQ</t>
  </si>
  <si>
    <t>Modesto Formation. Cellar from 132' to 153' with endcap. Effective screen area from 105' to 150'.</t>
  </si>
  <si>
    <t>395023N1222837W001</t>
  </si>
  <si>
    <t>GCAB303-11</t>
  </si>
  <si>
    <t>19N04W14M002M</t>
  </si>
  <si>
    <t>Top of PVC casing.</t>
  </si>
  <si>
    <t>39.5023</t>
  </si>
  <si>
    <t>-122.2837</t>
  </si>
  <si>
    <t>WCR2005-010900</t>
  </si>
  <si>
    <t>1.5 miles south on Road Bb from Highway 162, then 0.35 miles west on farm road.  Well inside yellow can.</t>
  </si>
  <si>
    <t>Cellar from 55' to 65' with endcap. Effective screen area from 45' to 147'.</t>
  </si>
  <si>
    <t>395157N1221122W002</t>
  </si>
  <si>
    <t>19N02W08Q002M</t>
  </si>
  <si>
    <t>Westernmost piezo.</t>
  </si>
  <si>
    <t>39.5157</t>
  </si>
  <si>
    <t>-122.112233</t>
  </si>
  <si>
    <t>WCR2004-009692</t>
  </si>
  <si>
    <t>From intersection of Highway 162 and Road R, south on Road R 0.55 miles, then east 0.25 miles across canal.  Well in tall shed ~400 feet north.</t>
  </si>
  <si>
    <t>Tehama Formation. Cellar from 218' to 228' with endcap. Effective screen area from 171' to 265'.</t>
  </si>
  <si>
    <t>396971N1222533W001</t>
  </si>
  <si>
    <t>21N04W12A002M</t>
  </si>
  <si>
    <t>39.69716</t>
  </si>
  <si>
    <t>-122.2533</t>
  </si>
  <si>
    <t>WCR2002-009795</t>
  </si>
  <si>
    <t>At the south-west intersection of Road 25 and Road D.</t>
  </si>
  <si>
    <t>Tehama Formation. Cellar from 258' to 279' with endcap. Effective screen area from 219' to 323'.</t>
  </si>
  <si>
    <t>Previous information from incorrect source</t>
  </si>
  <si>
    <t>396672N1221774W002</t>
  </si>
  <si>
    <t>21N03W23D002M</t>
  </si>
  <si>
    <t>39.667158</t>
  </si>
  <si>
    <t>-122.177382</t>
  </si>
  <si>
    <t>WCR2002-009826</t>
  </si>
  <si>
    <t>1 mile north of Road 30 and 200 feet east of Road M</t>
  </si>
  <si>
    <t>Modesto Formation. Cellar from 170' to 191' with endcap. Effective screen area from 127' to 200'.</t>
  </si>
  <si>
    <t>397325N1221233W002</t>
  </si>
  <si>
    <t>22N02W30H003M</t>
  </si>
  <si>
    <t>Tehama Formation. Cellar from 260' to 275' with endcap. Effective screen area from 114' to 291'.</t>
  </si>
  <si>
    <t>394208N1221341W004</t>
  </si>
  <si>
    <t>18N02W18D004M</t>
  </si>
  <si>
    <t>39.4208</t>
  </si>
  <si>
    <t>-122.1341</t>
  </si>
  <si>
    <t>WCR2006-008541</t>
  </si>
  <si>
    <t>3 miles east of Highway 99 on Road 68, then 0.9 miles north on gravel road, then 0.1 mile east.  About 30 feet south of raod in yellow cannister near tules.</t>
  </si>
  <si>
    <t>Tules around cannister may need pruning. Cellar from 256' to 266' with endcap. Effective screen area from 235' to 280'.</t>
  </si>
  <si>
    <t>395496N1220839W001</t>
  </si>
  <si>
    <t>20N02W33B001M</t>
  </si>
  <si>
    <t>Bottom of box.</t>
  </si>
  <si>
    <t>39.5496</t>
  </si>
  <si>
    <t>-122.0839</t>
  </si>
  <si>
    <t>3686</t>
  </si>
  <si>
    <t>0.6 miles south of Road 44 on Road Tt; small white box covering inactive irrigation well.</t>
  </si>
  <si>
    <t>Yolo Subbasin GSA</t>
  </si>
  <si>
    <t>386148N1219868W001</t>
  </si>
  <si>
    <t>09N01W21E001M</t>
  </si>
  <si>
    <t>38.61509</t>
  </si>
  <si>
    <t>-121.9867</t>
  </si>
  <si>
    <t>Tehama Formation</t>
  </si>
  <si>
    <t>WCR1967-000114</t>
  </si>
  <si>
    <t>01/28/2022</t>
  </si>
  <si>
    <t>384757N1216466W001</t>
  </si>
  <si>
    <t>07N03E04Q001M</t>
  </si>
  <si>
    <t>Top of casing</t>
  </si>
  <si>
    <t>38.47383</t>
  </si>
  <si>
    <t>-121.64703</t>
  </si>
  <si>
    <t>Well was removed in November 2020 from the DWR network due to lack of well construction details.DWR Surveyed well in 2022.</t>
  </si>
  <si>
    <t>389239N1219963W001</t>
  </si>
  <si>
    <t>12N01W05B001M</t>
  </si>
  <si>
    <t>38.9237</t>
  </si>
  <si>
    <t>-121.99581</t>
  </si>
  <si>
    <t>Well was removed in November 2020 from the DWR network due to lack of well construction details. DWR Surveyed well in 2022.</t>
  </si>
  <si>
    <t>387947N1218684W001</t>
  </si>
  <si>
    <t>11N01E16P001M</t>
  </si>
  <si>
    <t>38.79481</t>
  </si>
  <si>
    <t>-121.86808</t>
  </si>
  <si>
    <t>WCR1962-000179</t>
  </si>
  <si>
    <t>added +2.0" to rp elevation 8/15/17. DWR Surveyed well in 2022.</t>
  </si>
  <si>
    <t>386622N1218534W001</t>
  </si>
  <si>
    <t>09N01E03C003M</t>
  </si>
  <si>
    <t>Top of Casing</t>
  </si>
  <si>
    <t>38.6622</t>
  </si>
  <si>
    <t>-121.8534</t>
  </si>
  <si>
    <t>57-366</t>
  </si>
  <si>
    <t>386914N1217662W001</t>
  </si>
  <si>
    <t>10N02E29A001M</t>
  </si>
  <si>
    <t>38.69138</t>
  </si>
  <si>
    <t>-121.7665</t>
  </si>
  <si>
    <t>WCR1974-000690</t>
  </si>
  <si>
    <t>387849N1217742W001</t>
  </si>
  <si>
    <t>11N02E20K004M</t>
  </si>
  <si>
    <t>38.78522</t>
  </si>
  <si>
    <t>-121.77414</t>
  </si>
  <si>
    <t>WCR1961-000208</t>
  </si>
  <si>
    <t>387067N1221411W001</t>
  </si>
  <si>
    <t>10N03W24B002M</t>
  </si>
  <si>
    <t>Plug In Well Cover</t>
  </si>
  <si>
    <t>38.70677</t>
  </si>
  <si>
    <t>-122.14119</t>
  </si>
  <si>
    <t>060182</t>
  </si>
  <si>
    <t>385441N1217312W001</t>
  </si>
  <si>
    <t>08N02E15A002M</t>
  </si>
  <si>
    <t>Public Supply</t>
  </si>
  <si>
    <t>38.54418</t>
  </si>
  <si>
    <t>-121.73123</t>
  </si>
  <si>
    <t>232130</t>
  </si>
  <si>
    <t>388472N1222010W001</t>
  </si>
  <si>
    <t>11N03W33F001M</t>
  </si>
  <si>
    <t>Top Of Casing - Outside Of Pump House</t>
  </si>
  <si>
    <t>38.84729</t>
  </si>
  <si>
    <t>-122.201</t>
  </si>
  <si>
    <t>387638N1221704W001</t>
  </si>
  <si>
    <t>11N03W35D003M</t>
  </si>
  <si>
    <t>Hole in top of casing</t>
  </si>
  <si>
    <t>38.76381</t>
  </si>
  <si>
    <t>-122.17044</t>
  </si>
  <si>
    <t>57-1605</t>
  </si>
  <si>
    <t>385460N1216942W001</t>
  </si>
  <si>
    <t>08N03E07N500M</t>
  </si>
  <si>
    <t>Plug On N Side Of Casing</t>
  </si>
  <si>
    <t>38.54607</t>
  </si>
  <si>
    <t>-121.6942</t>
  </si>
  <si>
    <t>428868</t>
  </si>
  <si>
    <t>385269N1219613W001</t>
  </si>
  <si>
    <t>08N01W22G500M</t>
  </si>
  <si>
    <t>Access Port Top Of Casing</t>
  </si>
  <si>
    <t>38.52699</t>
  </si>
  <si>
    <t>-121.96131</t>
  </si>
  <si>
    <t>492121</t>
  </si>
  <si>
    <t>387222N1217642W001</t>
  </si>
  <si>
    <t>10N02E09N001M</t>
  </si>
  <si>
    <t>Plug in top well cover</t>
  </si>
  <si>
    <t>38.7222</t>
  </si>
  <si>
    <t>-121.7642</t>
  </si>
  <si>
    <t>808</t>
  </si>
  <si>
    <t>38.9133</t>
  </si>
  <si>
    <t>-121.8431</t>
  </si>
  <si>
    <t>10/23/2014 This well was associated with the Yolo WRA CASGEM monitoring entity at the request of DWR. Although this well is within the Yolo WRA ME geographic region, this well is not monitored by the Yolo WRA.</t>
  </si>
  <si>
    <t>388635N1218245W002</t>
  </si>
  <si>
    <t>LCB-11 Middle</t>
  </si>
  <si>
    <t>12N01E26A002M</t>
  </si>
  <si>
    <t>38.8635</t>
  </si>
  <si>
    <t>-121.8245</t>
  </si>
  <si>
    <t>387186N1218562W001</t>
  </si>
  <si>
    <t>10N01E15D001M</t>
  </si>
  <si>
    <t>Hole In Top Of Well Cover</t>
  </si>
  <si>
    <t>38.7186</t>
  </si>
  <si>
    <t>-121.8562</t>
  </si>
  <si>
    <t>57-288</t>
  </si>
  <si>
    <t>388362N1218352W001</t>
  </si>
  <si>
    <t>LCB-13 Deep</t>
  </si>
  <si>
    <t>11N01E02D001M</t>
  </si>
  <si>
    <t>38.83615</t>
  </si>
  <si>
    <t>-121.83511</t>
  </si>
  <si>
    <t>387493N1217939W001</t>
  </si>
  <si>
    <t>10N02E06B001M</t>
  </si>
  <si>
    <t>Hole In Pump Base</t>
  </si>
  <si>
    <t>38.7493</t>
  </si>
  <si>
    <t>-121.7939</t>
  </si>
  <si>
    <t>387200N1219055W001</t>
  </si>
  <si>
    <t>10N01E18C001M</t>
  </si>
  <si>
    <t>1/2" Hole In Board East Side</t>
  </si>
  <si>
    <t>38.72</t>
  </si>
  <si>
    <t>-121.9055</t>
  </si>
  <si>
    <t>57-291</t>
  </si>
  <si>
    <t>387350N1217292W001</t>
  </si>
  <si>
    <t>10N02E03R002M</t>
  </si>
  <si>
    <t>Hole in pump base</t>
  </si>
  <si>
    <t>38.735</t>
  </si>
  <si>
    <t>-121.7292</t>
  </si>
  <si>
    <t>389133N1218431W002</t>
  </si>
  <si>
    <t>LCB-6 Middle</t>
  </si>
  <si>
    <t>12N01E03R002M</t>
  </si>
  <si>
    <t>387357N1218299W001</t>
  </si>
  <si>
    <t>10N01E02Q002M</t>
  </si>
  <si>
    <t>38.7357</t>
  </si>
  <si>
    <t>-121.8299</t>
  </si>
  <si>
    <t>57-211</t>
  </si>
  <si>
    <t>388805N1222219W001</t>
  </si>
  <si>
    <t>12N03W20D001M</t>
  </si>
  <si>
    <t>plug in pump cover</t>
  </si>
  <si>
    <t>38.8805</t>
  </si>
  <si>
    <t>-122.2219</t>
  </si>
  <si>
    <t>388103N1221989W001</t>
  </si>
  <si>
    <t>11N03W09Q001M</t>
  </si>
  <si>
    <t>38.8103</t>
  </si>
  <si>
    <t>-122.1989</t>
  </si>
  <si>
    <t>48475</t>
  </si>
  <si>
    <t>387857N1221651W001</t>
  </si>
  <si>
    <t>11N03W23L001M</t>
  </si>
  <si>
    <t>38.7857</t>
  </si>
  <si>
    <t>-122.1651</t>
  </si>
  <si>
    <t>387841N1221696W001</t>
  </si>
  <si>
    <t>11N03W23N001M</t>
  </si>
  <si>
    <t>TOC Under SW Edge Of Plate</t>
  </si>
  <si>
    <t>38.7841</t>
  </si>
  <si>
    <t>-122.1696</t>
  </si>
  <si>
    <t>387377N1219421W001</t>
  </si>
  <si>
    <t>10N01W02Q001M</t>
  </si>
  <si>
    <t>1/2" Plastic Plug At Top Of Pump Plate</t>
  </si>
  <si>
    <t>38.7377</t>
  </si>
  <si>
    <t>-121.9421</t>
  </si>
  <si>
    <t>45875</t>
  </si>
  <si>
    <t>387374N1221558W001</t>
  </si>
  <si>
    <t>10N03W02R002M</t>
  </si>
  <si>
    <t>Hole in plate TOC</t>
  </si>
  <si>
    <t>38.7374</t>
  </si>
  <si>
    <t>-122.1558</t>
  </si>
  <si>
    <t>387366N1219984W001</t>
  </si>
  <si>
    <t>10N01W08B001M</t>
  </si>
  <si>
    <t>Hole in top plate</t>
  </si>
  <si>
    <t>38.7366</t>
  </si>
  <si>
    <t>-121.9984</t>
  </si>
  <si>
    <t>1046</t>
  </si>
  <si>
    <t>387216N1220463W001</t>
  </si>
  <si>
    <t>10N02W14A001M</t>
  </si>
  <si>
    <t>38.7216</t>
  </si>
  <si>
    <t>-122.0463</t>
  </si>
  <si>
    <t>57-1253</t>
  </si>
  <si>
    <t>387180N1221278W001</t>
  </si>
  <si>
    <t>10N02W18F001M</t>
  </si>
  <si>
    <t>38.718</t>
  </si>
  <si>
    <t>-122.1278</t>
  </si>
  <si>
    <t>387098N1220859W001</t>
  </si>
  <si>
    <t>10N02W16R001M</t>
  </si>
  <si>
    <t>TOC under plate</t>
  </si>
  <si>
    <t>38.7098</t>
  </si>
  <si>
    <t>-122.0859</t>
  </si>
  <si>
    <t>386982N1219746W001</t>
  </si>
  <si>
    <t>10N01W21J001M</t>
  </si>
  <si>
    <t>Hole in base NW side</t>
  </si>
  <si>
    <t>38.6982</t>
  </si>
  <si>
    <t>-121.9746</t>
  </si>
  <si>
    <t>1065</t>
  </si>
  <si>
    <t>386929N1218266W001</t>
  </si>
  <si>
    <t>10N01E23Q002M</t>
  </si>
  <si>
    <t>Plug in plate</t>
  </si>
  <si>
    <t>38.6929</t>
  </si>
  <si>
    <t>-121.8266</t>
  </si>
  <si>
    <t>57-297</t>
  </si>
  <si>
    <t>386821N1218808W001</t>
  </si>
  <si>
    <t>10N01E29K001M</t>
  </si>
  <si>
    <t>38.6821</t>
  </si>
  <si>
    <t>-121.8808</t>
  </si>
  <si>
    <t>57-672</t>
  </si>
  <si>
    <t>386802N1220566W001</t>
  </si>
  <si>
    <t>10N02W26P001M</t>
  </si>
  <si>
    <t>38.6802</t>
  </si>
  <si>
    <t>-122.0566</t>
  </si>
  <si>
    <t>69905</t>
  </si>
  <si>
    <t>386775N1218417W001</t>
  </si>
  <si>
    <t>10N01E34A003M</t>
  </si>
  <si>
    <t>38.6775</t>
  </si>
  <si>
    <t>-121.8417</t>
  </si>
  <si>
    <t>735</t>
  </si>
  <si>
    <t>Well added April 1, 2022 to replace well 09N01E03C003M</t>
  </si>
  <si>
    <t>386652N1219419W001</t>
  </si>
  <si>
    <t>10N01W35Q001M</t>
  </si>
  <si>
    <t>Hole In Base W Side</t>
  </si>
  <si>
    <t>38.6652</t>
  </si>
  <si>
    <t>-121.9419</t>
  </si>
  <si>
    <t>72103</t>
  </si>
  <si>
    <t>386484N1219151W001</t>
  </si>
  <si>
    <t>09N01E07D001M</t>
  </si>
  <si>
    <t>38.6484</t>
  </si>
  <si>
    <t>-121.9151</t>
  </si>
  <si>
    <t>57-376</t>
  </si>
  <si>
    <t>386409N1217963W001</t>
  </si>
  <si>
    <t>09N02E07L001M</t>
  </si>
  <si>
    <t>38.6409</t>
  </si>
  <si>
    <t>-121.7963</t>
  </si>
  <si>
    <t>57-1033</t>
  </si>
  <si>
    <t>386352N1219951W001</t>
  </si>
  <si>
    <t>09N01W08Q001M</t>
  </si>
  <si>
    <t>38.6352</t>
  </si>
  <si>
    <t>-121.9951</t>
  </si>
  <si>
    <t>1027</t>
  </si>
  <si>
    <t>386191N1218180W001</t>
  </si>
  <si>
    <t>09N01E24D001M</t>
  </si>
  <si>
    <t>Metal Flap At Discharge Opening</t>
  </si>
  <si>
    <t>38.6191</t>
  </si>
  <si>
    <t>-121.818</t>
  </si>
  <si>
    <t>386180N1219524W001</t>
  </si>
  <si>
    <t>09N01W23D001M</t>
  </si>
  <si>
    <t>Hole In Top Plate</t>
  </si>
  <si>
    <t>38.618</t>
  </si>
  <si>
    <t>-121.9524</t>
  </si>
  <si>
    <t>072976</t>
  </si>
  <si>
    <t>386135N1218950W001</t>
  </si>
  <si>
    <t>09N01E20E001M</t>
  </si>
  <si>
    <t>Hole In Base S Side</t>
  </si>
  <si>
    <t>38.6135</t>
  </si>
  <si>
    <t>-121.895</t>
  </si>
  <si>
    <t>386125N1217307W001</t>
  </si>
  <si>
    <t>09N02E22H002M</t>
  </si>
  <si>
    <t>Breather cap</t>
  </si>
  <si>
    <t>38.6125</t>
  </si>
  <si>
    <t>-121.7307</t>
  </si>
  <si>
    <t>386041N1216747W002</t>
  </si>
  <si>
    <t>MW-04d</t>
  </si>
  <si>
    <t>09N03E19R002M</t>
  </si>
  <si>
    <t>38.60408</t>
  </si>
  <si>
    <t>-121.67467</t>
  </si>
  <si>
    <t>433699</t>
  </si>
  <si>
    <t>385938N1218398W001</t>
  </si>
  <si>
    <t>09N01E26N001M</t>
  </si>
  <si>
    <t>Access Tube N Side Of Well</t>
  </si>
  <si>
    <t>38.5938</t>
  </si>
  <si>
    <t>-121.8398</t>
  </si>
  <si>
    <t>57-464</t>
  </si>
  <si>
    <t>385902N1219112W001</t>
  </si>
  <si>
    <t>09N01E31D001M</t>
  </si>
  <si>
    <t>38.59012</t>
  </si>
  <si>
    <t>-121.91147</t>
  </si>
  <si>
    <t>385827N1217848W001</t>
  </si>
  <si>
    <t>09N02E32M001M</t>
  </si>
  <si>
    <t>38.58308</t>
  </si>
  <si>
    <t>-121.78487</t>
  </si>
  <si>
    <t>33046</t>
  </si>
  <si>
    <t>385587N1219839W001</t>
  </si>
  <si>
    <t>08N01W09C001M</t>
  </si>
  <si>
    <t>Pipe On NE Side Of Well</t>
  </si>
  <si>
    <t>38.5589</t>
  </si>
  <si>
    <t>-121.98421</t>
  </si>
  <si>
    <t>57-313</t>
  </si>
  <si>
    <t>385503N1218973W001</t>
  </si>
  <si>
    <t>08N01E07R001M</t>
  </si>
  <si>
    <t>38.55034</t>
  </si>
  <si>
    <t>-121.89763</t>
  </si>
  <si>
    <t>10398</t>
  </si>
  <si>
    <t>385410N1219246W001</t>
  </si>
  <si>
    <t>08N01W13G003M</t>
  </si>
  <si>
    <t>38.54147</t>
  </si>
  <si>
    <t>-121.92454</t>
  </si>
  <si>
    <t>385186N1219905W001</t>
  </si>
  <si>
    <t>08N01W20R005M</t>
  </si>
  <si>
    <t>38.5186</t>
  </si>
  <si>
    <t>-121.9905</t>
  </si>
  <si>
    <t>386713N1220055W001</t>
  </si>
  <si>
    <t>10N01W32E001M</t>
  </si>
  <si>
    <t>38.6713</t>
  </si>
  <si>
    <t>-122.0055</t>
  </si>
  <si>
    <t>384938N1216714W001</t>
  </si>
  <si>
    <t>08N03E32L001M</t>
  </si>
  <si>
    <t>38.4938</t>
  </si>
  <si>
    <t>-121.6714</t>
  </si>
  <si>
    <t>106444</t>
  </si>
  <si>
    <t>383785N1216916W001</t>
  </si>
  <si>
    <t>06N03E07M001M</t>
  </si>
  <si>
    <t>38.3785</t>
  </si>
  <si>
    <t>-121.6916</t>
  </si>
  <si>
    <t>Well was removed in November 2020 from the DWR network due to lack of well construction details.</t>
  </si>
  <si>
    <t>386759N1216446W002</t>
  </si>
  <si>
    <t>MW-09d</t>
  </si>
  <si>
    <t>10N03E33B011M</t>
  </si>
  <si>
    <t>38.6759</t>
  </si>
  <si>
    <t>-121.6446</t>
  </si>
  <si>
    <t>483648</t>
  </si>
  <si>
    <t>386720N1217096W001</t>
  </si>
  <si>
    <t>MW-01s</t>
  </si>
  <si>
    <t>10N02E36E001M</t>
  </si>
  <si>
    <t>38.672</t>
  </si>
  <si>
    <t>-121.7096</t>
  </si>
  <si>
    <t>421810</t>
  </si>
  <si>
    <t>385894N1216449W001</t>
  </si>
  <si>
    <t>MW-05d</t>
  </si>
  <si>
    <t>09N03E33B002M</t>
  </si>
  <si>
    <t>38.5894</t>
  </si>
  <si>
    <t>-121.6449</t>
  </si>
  <si>
    <t>433668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</si>
</sst>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m/d/yyyy;@"/>
  </numFmts>
  <fonts count="3" x14ac:knownFonts="1">
    <font>
      <sz val="11"/>
      <color theme="1"/>
      <name val="Calibri"/>
      <family val="2"/>
      <scheme val="minor"/>
    </font>
    <font>
      <sz val="11"/>
      <color rgb="FF3F3F76"/>
      <name val="Calibri"/>
      <family val="2"/>
      <scheme val="minor"/>
    </font>
    <font>
      <b/>
      <sz val="11"/>
      <color rgb="FF3F3F76"/>
      <name val="Calibri"/>
      <family val="2"/>
      <scheme val="minor"/>
    </font>
  </fonts>
  <fills count="3">
    <fill>
      <patternFill patternType="none"/>
    </fill>
    <fill>
      <patternFill patternType="gray125"/>
    </fill>
    <fill>
      <patternFill patternType="solid">
        <fgColor rgb="FFFFCC99"/>
      </patternFill>
    </fill>
  </fills>
  <borders count="2">
    <border>
      <left/>
      <right/>
      <top/>
      <bottom/>
      <diagonal/>
    </border>
    <border>
      <left style="thin">
        <color rgb="FF7F7F7F"/>
      </left>
      <right style="thin">
        <color rgb="FF7F7F7F"/>
      </right>
      <top style="thin">
        <color rgb="FF7F7F7F"/>
      </top>
      <bottom style="thin">
        <color rgb="FF7F7F7F"/>
      </bottom>
      <diagonal/>
    </border>
  </borders>
  <cellStyleXfs count="2">
    <xf numFmtId="0" fontId="0" fillId="0" borderId="0"/>
    <xf numFmtId="0" fontId="1" fillId="2" borderId="1" applyNumberFormat="0" applyAlignment="0" applyProtection="0"/>
  </cellStyleXfs>
  <cellXfs count="16">
    <xf numFmtId="0" fontId="0" fillId="0" borderId="0" xfId="0"/>
    <xf numFmtId="0" fontId="2" fillId="2" borderId="1" xfId="1" applyFont="1" applyAlignment="1" applyProtection="1">
      <alignment horizontal="center" vertical="center" wrapText="1"/>
    </xf>
    <xf numFmtId="2" fontId="2" fillId="2" borderId="1" xfId="1" applyNumberFormat="1" applyFont="1" applyAlignment="1" applyProtection="1">
      <alignment horizontal="center" vertical="center" wrapText="1"/>
    </xf>
    <xf numFmtId="49" fontId="2" fillId="2" borderId="1" xfId="1" applyNumberFormat="1" applyFont="1" applyAlignment="1" applyProtection="1">
      <alignment horizontal="center" vertical="center" wrapText="1"/>
    </xf>
    <xf numFmtId="1" fontId="2" fillId="2" borderId="1" xfId="1" applyNumberFormat="1" applyFont="1" applyAlignment="1" applyProtection="1">
      <alignment horizontal="center" vertical="center" wrapText="1"/>
    </xf>
    <xf numFmtId="0" fontId="0" fillId="0" borderId="1" xfId="0" applyBorder="1" applyAlignment="1" applyProtection="1">
      <alignment horizontal="center" vertical="center"/>
      <protection locked="0"/>
    </xf>
    <xf numFmtId="0" fontId="0" fillId="0" borderId="1" xfId="0" applyBorder="1" applyAlignment="1" applyProtection="1">
      <alignment horizontal="center" vertical="center" wrapText="1"/>
      <protection locked="0"/>
    </xf>
    <xf numFmtId="49" fontId="0" fillId="0" borderId="1" xfId="0" applyNumberFormat="1" applyBorder="1" applyAlignment="1" applyProtection="1">
      <alignment horizontal="center" vertical="center"/>
      <protection locked="0"/>
    </xf>
    <xf numFmtId="164" fontId="0" fillId="0" borderId="1" xfId="0" applyNumberFormat="1" applyBorder="1" applyAlignment="1" applyProtection="1">
      <alignment horizontal="center" vertical="center"/>
      <protection locked="0"/>
    </xf>
    <xf numFmtId="49" fontId="0" fillId="0" borderId="1" xfId="0" applyNumberFormat="1" applyBorder="1" applyAlignment="1" applyProtection="1">
      <alignment horizontal="center" vertical="center" wrapText="1"/>
      <protection locked="0"/>
    </xf>
    <xf numFmtId="1" fontId="0" fillId="0" borderId="1" xfId="0" applyNumberFormat="1" applyBorder="1" applyAlignment="1" applyProtection="1">
      <alignment horizontal="center" vertical="center"/>
      <protection locked="0"/>
    </xf>
    <xf numFmtId="165" fontId="0" fillId="0" borderId="1" xfId="0" applyNumberFormat="1" applyBorder="1" applyAlignment="1" applyProtection="1">
      <alignment horizontal="center" vertical="center" wrapText="1"/>
      <protection locked="0"/>
    </xf>
    <xf numFmtId="0" fontId="0" fillId="0" borderId="1" xfId="0" applyBorder="1" applyAlignment="1">
      <alignment horizontal="center" vertical="center"/>
    </xf>
    <xf numFmtId="0" fontId="0" fillId="0" borderId="1" xfId="0" applyBorder="1" applyAlignment="1">
      <alignment horizontal="center" vertical="center" wrapText="1"/>
    </xf>
    <xf numFmtId="49" fontId="0" fillId="0" borderId="1" xfId="0" applyNumberFormat="1" applyBorder="1" applyAlignment="1">
      <alignment horizontal="center" vertical="center"/>
    </xf>
    <xf numFmtId="0" fontId="0" fillId="0" borderId="0" xfId="0"/>
  </cellXfs>
  <cellStyles count="2">
    <cellStyle name="Input" xfId="1" builtinId="20"/>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M480"/>
  <sheetViews>
    <sheetView tabSelected="1" workbookViewId="0">
      <selection activeCell="B7" sqref="B7"/>
    </sheetView>
  </sheetViews>
  <sheetFormatPr defaultRowHeight="14.5" x14ac:dyDescent="0.35"/>
  <cols>
    <col min="1" max="1" width="12.7265625" style="12" customWidth="1"/>
    <col min="2" max="2" width="45.7265625" style="13" customWidth="1"/>
    <col min="3" max="3" width="22.7265625" style="12" customWidth="1"/>
    <col min="4" max="4" width="23.1796875" style="12" customWidth="1"/>
    <col min="5" max="5" width="25.7265625" style="12" customWidth="1"/>
    <col min="6" max="6" width="18.7265625" style="12" customWidth="1"/>
    <col min="7" max="7" width="23.7265625" style="12" customWidth="1"/>
    <col min="8" max="8" width="21.7265625" style="12" customWidth="1"/>
    <col min="9" max="9" width="45.7265625" style="13" customWidth="1"/>
    <col min="10" max="10" width="21.7265625" style="12" customWidth="1"/>
    <col min="11" max="12" width="23.7265625" style="12" customWidth="1"/>
    <col min="13" max="13" width="16.7265625" style="12" customWidth="1"/>
    <col min="14" max="15" width="16.7265625" style="14" customWidth="1"/>
    <col min="16" max="17" width="20.7265625" style="12" customWidth="1"/>
    <col min="18" max="18" width="22.7265625" style="12" customWidth="1"/>
    <col min="19" max="19" width="58.7265625" style="12" customWidth="1"/>
    <col min="20" max="21" width="18.7265625" style="12" customWidth="1"/>
    <col min="22" max="22" width="30.7265625" style="13" customWidth="1"/>
    <col min="23" max="23" width="45.7265625" style="13" customWidth="1"/>
    <col min="24" max="24" width="14.7265625" style="12" customWidth="1"/>
    <col min="25" max="26" width="19.7265625" style="12" customWidth="1"/>
    <col min="27" max="32" width="29.26953125" style="12" customWidth="1"/>
    <col min="33" max="38" width="25.7265625" style="12" customWidth="1"/>
    <col min="39" max="39" width="45.7265625" style="13" customWidth="1"/>
  </cols>
  <sheetData>
    <row r="1" spans="1:39" ht="29" x14ac:dyDescent="0.35">
      <c r="A1" s="1" t="s">
        <v>0</v>
      </c>
      <c r="B1" s="1" t="s">
        <v>1</v>
      </c>
      <c r="C1" s="1" t="s">
        <v>2</v>
      </c>
      <c r="D1" s="1" t="s">
        <v>3</v>
      </c>
      <c r="E1" s="1" t="s">
        <v>4</v>
      </c>
      <c r="F1" s="1" t="s">
        <v>5</v>
      </c>
      <c r="G1" s="1" t="s">
        <v>6</v>
      </c>
      <c r="H1" s="2" t="s">
        <v>7</v>
      </c>
      <c r="I1" s="1" t="s">
        <v>8</v>
      </c>
      <c r="J1" s="2" t="s">
        <v>9</v>
      </c>
      <c r="K1" s="1" t="s">
        <v>10</v>
      </c>
      <c r="L1" s="1" t="s">
        <v>11</v>
      </c>
      <c r="M1" s="1" t="s">
        <v>12</v>
      </c>
      <c r="N1" s="3" t="s">
        <v>13</v>
      </c>
      <c r="O1" s="3" t="s">
        <v>14</v>
      </c>
      <c r="P1" s="1" t="s">
        <v>15</v>
      </c>
      <c r="Q1" s="1" t="s">
        <v>16</v>
      </c>
      <c r="R1" s="1" t="s">
        <v>17</v>
      </c>
      <c r="S1" s="1" t="s">
        <v>18</v>
      </c>
      <c r="T1" s="4" t="s">
        <v>19</v>
      </c>
      <c r="U1" s="1" t="s">
        <v>20</v>
      </c>
      <c r="V1" s="1" t="s">
        <v>21</v>
      </c>
      <c r="W1" s="1" t="s">
        <v>22</v>
      </c>
      <c r="X1" s="1" t="s">
        <v>23</v>
      </c>
      <c r="Y1" s="4" t="s">
        <v>24</v>
      </c>
      <c r="Z1" s="4" t="s">
        <v>25</v>
      </c>
      <c r="AA1" s="1" t="s">
        <v>26</v>
      </c>
      <c r="AB1" s="1" t="s">
        <v>27</v>
      </c>
      <c r="AC1" s="1" t="s">
        <v>28</v>
      </c>
      <c r="AD1" s="1" t="s">
        <v>29</v>
      </c>
      <c r="AE1" s="1" t="s">
        <v>30</v>
      </c>
      <c r="AF1" s="1" t="s">
        <v>31</v>
      </c>
      <c r="AG1" s="1" t="s">
        <v>32</v>
      </c>
      <c r="AH1" s="1" t="s">
        <v>33</v>
      </c>
      <c r="AI1" s="1" t="s">
        <v>34</v>
      </c>
      <c r="AJ1" s="1" t="s">
        <v>35</v>
      </c>
      <c r="AK1" s="1" t="s">
        <v>36</v>
      </c>
      <c r="AL1" s="1" t="s">
        <v>37</v>
      </c>
      <c r="AM1" s="1" t="s">
        <v>38</v>
      </c>
    </row>
    <row r="2" spans="1:39" x14ac:dyDescent="0.35">
      <c r="A2">
        <v>36246</v>
      </c>
      <c r="B2" t="s">
        <v>39</v>
      </c>
      <c r="C2" t="s">
        <v>56</v>
      </c>
      <c r="D2">
        <v>92</v>
      </c>
      <c r="E2" t="s">
        <v>57</v>
      </c>
      <c r="F2" t="s">
        <v>57</v>
      </c>
      <c r="G2" t="s">
        <v>58</v>
      </c>
      <c r="H2">
        <v>90.97</v>
      </c>
      <c r="I2" t="s">
        <v>59</v>
      </c>
      <c r="J2">
        <v>90.47</v>
      </c>
      <c r="K2" t="s">
        <v>60</v>
      </c>
      <c r="L2" t="s">
        <v>61</v>
      </c>
      <c r="M2" t="s">
        <v>62</v>
      </c>
      <c r="N2" t="s">
        <v>63</v>
      </c>
      <c r="O2" t="s">
        <v>64</v>
      </c>
      <c r="P2" t="s">
        <v>65</v>
      </c>
      <c r="Q2" t="s">
        <v>46</v>
      </c>
      <c r="R2" t="s">
        <v>66</v>
      </c>
      <c r="S2" t="s">
        <v>67</v>
      </c>
      <c r="T2">
        <v>180</v>
      </c>
      <c r="U2" t="s">
        <v>68</v>
      </c>
      <c r="V2" t="s">
        <v>69</v>
      </c>
      <c r="W2" t="s">
        <v>55</v>
      </c>
      <c r="X2" t="s">
        <v>52</v>
      </c>
      <c r="Y2">
        <v>108</v>
      </c>
      <c r="Z2">
        <v>180</v>
      </c>
      <c r="AA2" t="s">
        <v>53</v>
      </c>
      <c r="AB2" t="s">
        <v>53</v>
      </c>
      <c r="AC2" t="s">
        <v>54</v>
      </c>
      <c r="AD2" t="s">
        <v>54</v>
      </c>
      <c r="AE2" t="s">
        <v>54</v>
      </c>
      <c r="AF2" t="s">
        <v>53</v>
      </c>
      <c r="AG2" t="s">
        <v>70</v>
      </c>
      <c r="AH2">
        <v>-47.4</v>
      </c>
      <c r="AI2">
        <v>-36.200000000000003</v>
      </c>
      <c r="AJ2">
        <v>-11.8</v>
      </c>
      <c r="AK2">
        <v>12.7</v>
      </c>
      <c r="AL2">
        <v>-36.200000000000003</v>
      </c>
      <c r="AM2" t="s">
        <v>55</v>
      </c>
    </row>
    <row r="3" spans="1:39" x14ac:dyDescent="0.35">
      <c r="A3">
        <v>24470</v>
      </c>
      <c r="B3" t="s">
        <v>39</v>
      </c>
      <c r="C3" t="s">
        <v>71</v>
      </c>
      <c r="D3">
        <v>92</v>
      </c>
      <c r="E3" t="s">
        <v>72</v>
      </c>
      <c r="F3" t="s">
        <v>73</v>
      </c>
      <c r="G3" t="s">
        <v>58</v>
      </c>
      <c r="H3">
        <v>130.66</v>
      </c>
      <c r="I3" t="s">
        <v>74</v>
      </c>
      <c r="J3">
        <v>128.56</v>
      </c>
      <c r="K3" t="s">
        <v>40</v>
      </c>
      <c r="L3" t="s">
        <v>41</v>
      </c>
      <c r="M3" t="s">
        <v>42</v>
      </c>
      <c r="N3" t="s">
        <v>75</v>
      </c>
      <c r="O3" t="s">
        <v>76</v>
      </c>
      <c r="P3" t="s">
        <v>65</v>
      </c>
      <c r="Q3" t="s">
        <v>46</v>
      </c>
      <c r="R3" t="s">
        <v>47</v>
      </c>
      <c r="S3" t="s">
        <v>48</v>
      </c>
      <c r="T3">
        <v>170</v>
      </c>
      <c r="U3" t="s">
        <v>77</v>
      </c>
      <c r="V3" t="s">
        <v>78</v>
      </c>
      <c r="W3" t="s">
        <v>79</v>
      </c>
      <c r="X3" t="s">
        <v>52</v>
      </c>
      <c r="Y3">
        <v>130</v>
      </c>
      <c r="Z3">
        <v>160</v>
      </c>
      <c r="AA3" t="s">
        <v>53</v>
      </c>
      <c r="AB3" t="s">
        <v>53</v>
      </c>
      <c r="AC3" t="s">
        <v>54</v>
      </c>
      <c r="AD3" t="s">
        <v>54</v>
      </c>
      <c r="AE3" t="s">
        <v>54</v>
      </c>
      <c r="AF3" t="s">
        <v>54</v>
      </c>
      <c r="AG3" t="s">
        <v>70</v>
      </c>
      <c r="AH3">
        <v>113.1</v>
      </c>
      <c r="AI3">
        <v>113.1</v>
      </c>
      <c r="AJ3">
        <v>113.1</v>
      </c>
      <c r="AK3">
        <v>113.1</v>
      </c>
      <c r="AL3">
        <v>83.2</v>
      </c>
      <c r="AM3" t="s">
        <v>55</v>
      </c>
    </row>
    <row r="4" spans="1:39" x14ac:dyDescent="0.35">
      <c r="A4">
        <v>18566</v>
      </c>
      <c r="B4" t="s">
        <v>39</v>
      </c>
      <c r="C4" t="s">
        <v>80</v>
      </c>
      <c r="D4">
        <v>92</v>
      </c>
      <c r="E4" t="s">
        <v>81</v>
      </c>
      <c r="F4" t="s">
        <v>81</v>
      </c>
      <c r="G4" t="s">
        <v>58</v>
      </c>
      <c r="H4">
        <v>163.5</v>
      </c>
      <c r="I4" t="s">
        <v>82</v>
      </c>
      <c r="J4">
        <v>162.5</v>
      </c>
      <c r="K4" t="s">
        <v>60</v>
      </c>
      <c r="L4" t="s">
        <v>61</v>
      </c>
      <c r="M4" t="s">
        <v>62</v>
      </c>
      <c r="N4" t="s">
        <v>83</v>
      </c>
      <c r="O4" t="s">
        <v>84</v>
      </c>
      <c r="P4" t="s">
        <v>85</v>
      </c>
      <c r="Q4" t="s">
        <v>86</v>
      </c>
      <c r="R4" t="s">
        <v>47</v>
      </c>
      <c r="S4" t="s">
        <v>67</v>
      </c>
      <c r="T4">
        <v>924</v>
      </c>
      <c r="U4" t="s">
        <v>87</v>
      </c>
      <c r="V4" t="s">
        <v>55</v>
      </c>
      <c r="W4" t="s">
        <v>88</v>
      </c>
      <c r="X4" t="s">
        <v>52</v>
      </c>
      <c r="Y4">
        <v>119</v>
      </c>
      <c r="Z4">
        <v>349.5</v>
      </c>
      <c r="AA4" t="s">
        <v>53</v>
      </c>
      <c r="AB4" t="s">
        <v>53</v>
      </c>
      <c r="AC4" t="s">
        <v>54</v>
      </c>
      <c r="AD4" t="s">
        <v>54</v>
      </c>
      <c r="AE4" t="s">
        <v>54</v>
      </c>
      <c r="AF4" t="s">
        <v>54</v>
      </c>
      <c r="AG4" t="s">
        <v>70</v>
      </c>
      <c r="AH4">
        <v>0.2</v>
      </c>
      <c r="AI4">
        <v>18</v>
      </c>
      <c r="AJ4">
        <v>36.700000000000003</v>
      </c>
      <c r="AK4">
        <v>55.5</v>
      </c>
      <c r="AL4">
        <v>18</v>
      </c>
      <c r="AM4" t="s">
        <v>55</v>
      </c>
    </row>
    <row r="5" spans="1:39" x14ac:dyDescent="0.35">
      <c r="A5">
        <v>18534</v>
      </c>
      <c r="B5" t="s">
        <v>39</v>
      </c>
      <c r="C5" t="s">
        <v>89</v>
      </c>
      <c r="D5">
        <v>92</v>
      </c>
      <c r="E5" t="s">
        <v>90</v>
      </c>
      <c r="F5" t="s">
        <v>90</v>
      </c>
      <c r="G5" t="s">
        <v>58</v>
      </c>
      <c r="H5">
        <v>32.799999999999997</v>
      </c>
      <c r="I5" t="s">
        <v>91</v>
      </c>
      <c r="J5">
        <v>31.8</v>
      </c>
      <c r="K5" t="s">
        <v>40</v>
      </c>
      <c r="L5" t="s">
        <v>41</v>
      </c>
      <c r="M5" t="s">
        <v>92</v>
      </c>
      <c r="N5" t="s">
        <v>93</v>
      </c>
      <c r="O5" t="s">
        <v>94</v>
      </c>
      <c r="P5" t="s">
        <v>95</v>
      </c>
      <c r="Q5" t="s">
        <v>95</v>
      </c>
      <c r="R5" t="s">
        <v>66</v>
      </c>
      <c r="S5" t="s">
        <v>67</v>
      </c>
      <c r="T5">
        <v>158</v>
      </c>
      <c r="U5" t="s">
        <v>96</v>
      </c>
      <c r="V5" t="s">
        <v>97</v>
      </c>
      <c r="W5" t="s">
        <v>98</v>
      </c>
      <c r="X5" t="s">
        <v>52</v>
      </c>
      <c r="Y5">
        <v>136</v>
      </c>
      <c r="Z5">
        <v>158</v>
      </c>
      <c r="AA5" t="s">
        <v>53</v>
      </c>
      <c r="AB5" t="s">
        <v>53</v>
      </c>
      <c r="AC5" t="s">
        <v>54</v>
      </c>
      <c r="AD5" t="s">
        <v>54</v>
      </c>
      <c r="AE5" t="s">
        <v>54</v>
      </c>
      <c r="AF5" t="s">
        <v>53</v>
      </c>
      <c r="AG5" t="s">
        <v>70</v>
      </c>
      <c r="AH5">
        <v>26</v>
      </c>
      <c r="AI5">
        <v>26</v>
      </c>
      <c r="AJ5">
        <v>26</v>
      </c>
      <c r="AK5">
        <v>26</v>
      </c>
      <c r="AL5">
        <v>-8.1</v>
      </c>
      <c r="AM5" t="s">
        <v>55</v>
      </c>
    </row>
    <row r="6" spans="1:39" x14ac:dyDescent="0.35">
      <c r="A6">
        <v>18563</v>
      </c>
      <c r="B6" t="s">
        <v>39</v>
      </c>
      <c r="C6" t="s">
        <v>99</v>
      </c>
      <c r="D6">
        <v>92</v>
      </c>
      <c r="E6" t="s">
        <v>100</v>
      </c>
      <c r="F6" t="s">
        <v>100</v>
      </c>
      <c r="G6" t="s">
        <v>58</v>
      </c>
      <c r="H6">
        <v>63.45</v>
      </c>
      <c r="I6" t="s">
        <v>82</v>
      </c>
      <c r="J6">
        <v>62.45</v>
      </c>
      <c r="K6" t="s">
        <v>95</v>
      </c>
      <c r="L6" t="s">
        <v>95</v>
      </c>
      <c r="M6" t="s">
        <v>62</v>
      </c>
      <c r="N6" t="s">
        <v>101</v>
      </c>
      <c r="O6" t="s">
        <v>102</v>
      </c>
      <c r="P6" t="s">
        <v>95</v>
      </c>
      <c r="Q6" t="s">
        <v>95</v>
      </c>
      <c r="R6" t="s">
        <v>103</v>
      </c>
      <c r="S6" t="s">
        <v>67</v>
      </c>
      <c r="T6">
        <v>392</v>
      </c>
      <c r="U6" t="s">
        <v>104</v>
      </c>
      <c r="V6" t="s">
        <v>55</v>
      </c>
      <c r="W6" t="s">
        <v>105</v>
      </c>
      <c r="X6" t="s">
        <v>52</v>
      </c>
      <c r="Y6">
        <v>104</v>
      </c>
      <c r="Z6">
        <v>392</v>
      </c>
      <c r="AA6" t="s">
        <v>53</v>
      </c>
      <c r="AB6" t="s">
        <v>53</v>
      </c>
      <c r="AC6" t="s">
        <v>54</v>
      </c>
      <c r="AD6" t="s">
        <v>54</v>
      </c>
      <c r="AE6" t="s">
        <v>54</v>
      </c>
      <c r="AF6" t="s">
        <v>54</v>
      </c>
      <c r="AG6" t="s">
        <v>70</v>
      </c>
      <c r="AH6">
        <v>0.5</v>
      </c>
      <c r="AI6">
        <v>6.9</v>
      </c>
      <c r="AJ6">
        <v>16</v>
      </c>
      <c r="AK6">
        <v>25.1</v>
      </c>
      <c r="AL6">
        <v>6.8</v>
      </c>
      <c r="AM6" t="s">
        <v>55</v>
      </c>
    </row>
    <row r="7" spans="1:39" x14ac:dyDescent="0.35">
      <c r="A7">
        <v>14309</v>
      </c>
      <c r="B7" t="s">
        <v>39</v>
      </c>
      <c r="C7" t="s">
        <v>106</v>
      </c>
      <c r="D7">
        <v>92</v>
      </c>
      <c r="E7" t="s">
        <v>107</v>
      </c>
      <c r="F7" t="s">
        <v>107</v>
      </c>
      <c r="G7" t="s">
        <v>58</v>
      </c>
      <c r="H7">
        <v>48.82</v>
      </c>
      <c r="I7" t="s">
        <v>82</v>
      </c>
      <c r="J7">
        <v>47.42</v>
      </c>
      <c r="K7" t="s">
        <v>95</v>
      </c>
      <c r="L7" t="s">
        <v>41</v>
      </c>
      <c r="M7" t="s">
        <v>92</v>
      </c>
      <c r="N7" t="s">
        <v>108</v>
      </c>
      <c r="O7" t="s">
        <v>109</v>
      </c>
      <c r="P7" t="s">
        <v>85</v>
      </c>
      <c r="Q7" t="s">
        <v>86</v>
      </c>
      <c r="R7" t="s">
        <v>66</v>
      </c>
      <c r="S7" t="s">
        <v>67</v>
      </c>
      <c r="T7">
        <v>140</v>
      </c>
      <c r="U7" t="s">
        <v>110</v>
      </c>
      <c r="V7" t="s">
        <v>111</v>
      </c>
      <c r="W7" t="s">
        <v>112</v>
      </c>
      <c r="X7" t="s">
        <v>52</v>
      </c>
      <c r="Y7">
        <v>75</v>
      </c>
      <c r="Z7">
        <v>140</v>
      </c>
      <c r="AA7" t="s">
        <v>53</v>
      </c>
      <c r="AB7" t="s">
        <v>53</v>
      </c>
      <c r="AC7" t="s">
        <v>54</v>
      </c>
      <c r="AD7" t="s">
        <v>54</v>
      </c>
      <c r="AE7" t="s">
        <v>54</v>
      </c>
      <c r="AF7" t="s">
        <v>53</v>
      </c>
      <c r="AG7" t="s">
        <v>70</v>
      </c>
      <c r="AH7">
        <v>34.700000000000003</v>
      </c>
      <c r="AI7">
        <v>34.700000000000003</v>
      </c>
      <c r="AJ7">
        <v>34.700000000000003</v>
      </c>
      <c r="AK7">
        <v>34.700000000000003</v>
      </c>
      <c r="AL7">
        <v>0.6</v>
      </c>
      <c r="AM7" t="s">
        <v>55</v>
      </c>
    </row>
    <row r="8" spans="1:39" x14ac:dyDescent="0.35">
      <c r="A8">
        <v>14319</v>
      </c>
      <c r="B8" t="s">
        <v>39</v>
      </c>
      <c r="C8" t="s">
        <v>113</v>
      </c>
      <c r="D8">
        <v>92</v>
      </c>
      <c r="E8" t="s">
        <v>114</v>
      </c>
      <c r="F8" t="s">
        <v>114</v>
      </c>
      <c r="G8" t="s">
        <v>58</v>
      </c>
      <c r="H8">
        <v>88.11</v>
      </c>
      <c r="I8" t="s">
        <v>115</v>
      </c>
      <c r="J8">
        <v>87.46</v>
      </c>
      <c r="K8" t="s">
        <v>40</v>
      </c>
      <c r="L8" t="s">
        <v>41</v>
      </c>
      <c r="M8" t="s">
        <v>62</v>
      </c>
      <c r="N8" t="s">
        <v>116</v>
      </c>
      <c r="O8" t="s">
        <v>117</v>
      </c>
      <c r="P8" t="s">
        <v>65</v>
      </c>
      <c r="Q8" t="s">
        <v>46</v>
      </c>
      <c r="R8" t="s">
        <v>103</v>
      </c>
      <c r="S8" t="s">
        <v>67</v>
      </c>
      <c r="T8">
        <v>334</v>
      </c>
      <c r="U8" t="s">
        <v>118</v>
      </c>
      <c r="V8" t="s">
        <v>119</v>
      </c>
      <c r="W8" t="s">
        <v>120</v>
      </c>
      <c r="X8" t="s">
        <v>52</v>
      </c>
      <c r="Y8">
        <v>162</v>
      </c>
      <c r="Z8">
        <v>334</v>
      </c>
      <c r="AA8" t="s">
        <v>53</v>
      </c>
      <c r="AB8" t="s">
        <v>53</v>
      </c>
      <c r="AC8" t="s">
        <v>54</v>
      </c>
      <c r="AD8" t="s">
        <v>54</v>
      </c>
      <c r="AE8" t="s">
        <v>54</v>
      </c>
      <c r="AF8" t="s">
        <v>54</v>
      </c>
      <c r="AG8" t="s">
        <v>70</v>
      </c>
      <c r="AH8">
        <v>73.599999999999994</v>
      </c>
      <c r="AI8">
        <v>73.599999999999994</v>
      </c>
      <c r="AJ8">
        <v>73.599999999999994</v>
      </c>
      <c r="AK8">
        <v>73.599999999999994</v>
      </c>
      <c r="AL8">
        <v>36.5</v>
      </c>
      <c r="AM8" t="s">
        <v>55</v>
      </c>
    </row>
    <row r="9" spans="1:39" x14ac:dyDescent="0.35">
      <c r="A9">
        <v>38669</v>
      </c>
      <c r="B9" t="s">
        <v>39</v>
      </c>
      <c r="C9" t="s">
        <v>121</v>
      </c>
      <c r="D9">
        <v>92</v>
      </c>
      <c r="E9" t="s">
        <v>122</v>
      </c>
      <c r="F9" t="s">
        <v>123</v>
      </c>
      <c r="G9" t="s">
        <v>58</v>
      </c>
      <c r="H9">
        <v>66.34</v>
      </c>
      <c r="I9" t="s">
        <v>124</v>
      </c>
      <c r="J9">
        <v>65</v>
      </c>
      <c r="K9" t="s">
        <v>40</v>
      </c>
      <c r="L9" t="s">
        <v>41</v>
      </c>
      <c r="M9" t="s">
        <v>42</v>
      </c>
      <c r="N9" t="s">
        <v>125</v>
      </c>
      <c r="O9" t="s">
        <v>126</v>
      </c>
      <c r="P9" t="s">
        <v>95</v>
      </c>
      <c r="Q9" t="s">
        <v>95</v>
      </c>
      <c r="R9" t="s">
        <v>47</v>
      </c>
      <c r="S9" t="s">
        <v>48</v>
      </c>
      <c r="T9">
        <v>301</v>
      </c>
      <c r="U9" t="s">
        <v>127</v>
      </c>
      <c r="V9" t="s">
        <v>128</v>
      </c>
      <c r="W9" t="s">
        <v>129</v>
      </c>
      <c r="X9" t="s">
        <v>52</v>
      </c>
      <c r="Y9">
        <v>174</v>
      </c>
      <c r="Z9">
        <v>256</v>
      </c>
      <c r="AA9" t="s">
        <v>53</v>
      </c>
      <c r="AB9" t="s">
        <v>53</v>
      </c>
      <c r="AC9" t="s">
        <v>54</v>
      </c>
      <c r="AD9" t="s">
        <v>54</v>
      </c>
      <c r="AE9" t="s">
        <v>54</v>
      </c>
      <c r="AF9" t="s">
        <v>54</v>
      </c>
      <c r="AG9" t="s">
        <v>70</v>
      </c>
      <c r="AH9">
        <v>49</v>
      </c>
      <c r="AI9">
        <v>49</v>
      </c>
      <c r="AJ9">
        <v>49</v>
      </c>
      <c r="AK9">
        <v>49</v>
      </c>
      <c r="AL9">
        <v>1.1000000000000001</v>
      </c>
      <c r="AM9" t="s">
        <v>55</v>
      </c>
    </row>
    <row r="10" spans="1:39" x14ac:dyDescent="0.35">
      <c r="A10">
        <v>25515</v>
      </c>
      <c r="B10" t="s">
        <v>39</v>
      </c>
      <c r="C10" t="s">
        <v>130</v>
      </c>
      <c r="D10">
        <v>92</v>
      </c>
      <c r="E10" t="s">
        <v>131</v>
      </c>
      <c r="F10" t="s">
        <v>132</v>
      </c>
      <c r="G10" t="s">
        <v>58</v>
      </c>
      <c r="H10">
        <v>68.78</v>
      </c>
      <c r="I10" t="s">
        <v>133</v>
      </c>
      <c r="J10">
        <v>67</v>
      </c>
      <c r="K10" t="s">
        <v>65</v>
      </c>
      <c r="L10" t="s">
        <v>41</v>
      </c>
      <c r="M10" t="s">
        <v>42</v>
      </c>
      <c r="N10" t="s">
        <v>134</v>
      </c>
      <c r="O10" t="s">
        <v>135</v>
      </c>
      <c r="P10" t="s">
        <v>95</v>
      </c>
      <c r="Q10" t="s">
        <v>46</v>
      </c>
      <c r="R10" t="s">
        <v>47</v>
      </c>
      <c r="S10" t="s">
        <v>48</v>
      </c>
      <c r="T10">
        <v>302</v>
      </c>
      <c r="U10" t="s">
        <v>136</v>
      </c>
      <c r="V10" t="s">
        <v>137</v>
      </c>
      <c r="W10" t="s">
        <v>138</v>
      </c>
      <c r="X10" t="s">
        <v>52</v>
      </c>
      <c r="Y10">
        <v>250</v>
      </c>
      <c r="Z10">
        <v>260</v>
      </c>
      <c r="AA10" t="s">
        <v>53</v>
      </c>
      <c r="AB10" t="s">
        <v>53</v>
      </c>
      <c r="AC10" t="s">
        <v>54</v>
      </c>
      <c r="AD10" t="s">
        <v>54</v>
      </c>
      <c r="AE10" t="s">
        <v>54</v>
      </c>
      <c r="AF10" t="s">
        <v>54</v>
      </c>
      <c r="AG10" t="s">
        <v>70</v>
      </c>
      <c r="AH10">
        <v>56.2</v>
      </c>
      <c r="AI10">
        <v>56.2</v>
      </c>
      <c r="AJ10">
        <v>56.2</v>
      </c>
      <c r="AK10">
        <v>56.2</v>
      </c>
      <c r="AL10">
        <v>0.9</v>
      </c>
      <c r="AM10" t="s">
        <v>55</v>
      </c>
    </row>
    <row r="11" spans="1:39" x14ac:dyDescent="0.35">
      <c r="A11">
        <v>24656</v>
      </c>
      <c r="B11" t="s">
        <v>39</v>
      </c>
      <c r="C11" t="s">
        <v>139</v>
      </c>
      <c r="D11">
        <v>92</v>
      </c>
      <c r="E11" t="s">
        <v>140</v>
      </c>
      <c r="F11" t="s">
        <v>140</v>
      </c>
      <c r="G11" t="s">
        <v>58</v>
      </c>
      <c r="H11">
        <v>48</v>
      </c>
      <c r="I11" t="s">
        <v>82</v>
      </c>
      <c r="J11">
        <v>46.88</v>
      </c>
      <c r="K11" t="s">
        <v>40</v>
      </c>
      <c r="L11" t="s">
        <v>41</v>
      </c>
      <c r="M11" t="s">
        <v>42</v>
      </c>
      <c r="N11" t="s">
        <v>141</v>
      </c>
      <c r="O11" t="s">
        <v>142</v>
      </c>
      <c r="P11" t="s">
        <v>85</v>
      </c>
      <c r="Q11" t="s">
        <v>86</v>
      </c>
      <c r="R11" t="s">
        <v>103</v>
      </c>
      <c r="S11" t="s">
        <v>48</v>
      </c>
      <c r="T11">
        <v>275</v>
      </c>
      <c r="U11" t="s">
        <v>143</v>
      </c>
      <c r="V11" t="s">
        <v>55</v>
      </c>
      <c r="W11" t="s">
        <v>144</v>
      </c>
      <c r="X11" t="s">
        <v>52</v>
      </c>
      <c r="Y11">
        <v>135</v>
      </c>
      <c r="Z11">
        <v>225</v>
      </c>
      <c r="AA11" t="s">
        <v>53</v>
      </c>
      <c r="AB11" t="s">
        <v>53</v>
      </c>
      <c r="AC11" t="s">
        <v>54</v>
      </c>
      <c r="AD11" t="s">
        <v>54</v>
      </c>
      <c r="AE11" t="s">
        <v>54</v>
      </c>
      <c r="AF11" t="s">
        <v>54</v>
      </c>
      <c r="AG11" t="s">
        <v>70</v>
      </c>
      <c r="AH11">
        <v>28.2</v>
      </c>
      <c r="AI11">
        <v>28.2</v>
      </c>
      <c r="AJ11">
        <v>28.2</v>
      </c>
      <c r="AK11">
        <v>28.2</v>
      </c>
      <c r="AL11">
        <v>-16</v>
      </c>
      <c r="AM11" t="s">
        <v>55</v>
      </c>
    </row>
    <row r="12" spans="1:39" x14ac:dyDescent="0.35">
      <c r="A12">
        <v>24685</v>
      </c>
      <c r="B12" t="s">
        <v>39</v>
      </c>
      <c r="C12" t="s">
        <v>145</v>
      </c>
      <c r="D12">
        <v>92</v>
      </c>
      <c r="E12" t="s">
        <v>146</v>
      </c>
      <c r="F12" t="s">
        <v>147</v>
      </c>
      <c r="G12" t="s">
        <v>58</v>
      </c>
      <c r="H12">
        <v>67.680000000000007</v>
      </c>
      <c r="I12" t="s">
        <v>148</v>
      </c>
      <c r="J12">
        <v>65.7</v>
      </c>
      <c r="K12" t="s">
        <v>40</v>
      </c>
      <c r="L12" t="s">
        <v>41</v>
      </c>
      <c r="M12" t="s">
        <v>42</v>
      </c>
      <c r="N12" t="s">
        <v>149</v>
      </c>
      <c r="O12" t="s">
        <v>150</v>
      </c>
      <c r="P12" t="s">
        <v>85</v>
      </c>
      <c r="Q12" t="s">
        <v>86</v>
      </c>
      <c r="R12" t="s">
        <v>47</v>
      </c>
      <c r="S12" t="s">
        <v>48</v>
      </c>
      <c r="T12">
        <v>378</v>
      </c>
      <c r="U12" t="s">
        <v>151</v>
      </c>
      <c r="V12" t="s">
        <v>152</v>
      </c>
      <c r="W12" t="s">
        <v>153</v>
      </c>
      <c r="X12" t="s">
        <v>52</v>
      </c>
      <c r="Y12">
        <v>295</v>
      </c>
      <c r="Z12">
        <v>305</v>
      </c>
      <c r="AA12" t="s">
        <v>53</v>
      </c>
      <c r="AB12" t="s">
        <v>53</v>
      </c>
      <c r="AC12" t="s">
        <v>54</v>
      </c>
      <c r="AD12" t="s">
        <v>54</v>
      </c>
      <c r="AE12" t="s">
        <v>54</v>
      </c>
      <c r="AF12" t="s">
        <v>54</v>
      </c>
      <c r="AG12" t="s">
        <v>70</v>
      </c>
      <c r="AH12">
        <v>51.4</v>
      </c>
      <c r="AI12">
        <v>51.4</v>
      </c>
      <c r="AJ12">
        <v>51.4</v>
      </c>
      <c r="AK12">
        <v>51.4</v>
      </c>
      <c r="AL12">
        <v>8.5</v>
      </c>
      <c r="AM12" t="s">
        <v>55</v>
      </c>
    </row>
    <row r="13" spans="1:39" x14ac:dyDescent="0.35">
      <c r="A13">
        <v>36248</v>
      </c>
      <c r="B13" t="s">
        <v>39</v>
      </c>
      <c r="C13" t="s">
        <v>154</v>
      </c>
      <c r="D13">
        <v>92</v>
      </c>
      <c r="E13" t="s">
        <v>155</v>
      </c>
      <c r="F13" t="s">
        <v>156</v>
      </c>
      <c r="G13" t="s">
        <v>58</v>
      </c>
      <c r="H13">
        <v>35.49</v>
      </c>
      <c r="I13" t="s">
        <v>82</v>
      </c>
      <c r="J13">
        <v>32.229999999999997</v>
      </c>
      <c r="K13" t="s">
        <v>95</v>
      </c>
      <c r="L13" t="s">
        <v>95</v>
      </c>
      <c r="M13" t="s">
        <v>42</v>
      </c>
      <c r="N13" t="s">
        <v>157</v>
      </c>
      <c r="O13" t="s">
        <v>158</v>
      </c>
      <c r="P13" t="s">
        <v>95</v>
      </c>
      <c r="Q13" t="s">
        <v>95</v>
      </c>
      <c r="R13" t="s">
        <v>47</v>
      </c>
      <c r="S13" t="s">
        <v>48</v>
      </c>
      <c r="T13">
        <v>291</v>
      </c>
      <c r="U13" t="s">
        <v>55</v>
      </c>
      <c r="V13" t="s">
        <v>159</v>
      </c>
      <c r="W13" t="s">
        <v>160</v>
      </c>
      <c r="X13" t="s">
        <v>52</v>
      </c>
      <c r="Y13">
        <v>271</v>
      </c>
      <c r="Z13">
        <v>281</v>
      </c>
      <c r="AA13" t="s">
        <v>53</v>
      </c>
      <c r="AB13" t="s">
        <v>53</v>
      </c>
      <c r="AC13" t="s">
        <v>54</v>
      </c>
      <c r="AD13" t="s">
        <v>54</v>
      </c>
      <c r="AE13" t="s">
        <v>54</v>
      </c>
      <c r="AF13" t="s">
        <v>54</v>
      </c>
      <c r="AG13" t="s">
        <v>70</v>
      </c>
      <c r="AH13">
        <v>8.1999999999999993</v>
      </c>
      <c r="AI13">
        <v>8.1999999999999993</v>
      </c>
      <c r="AJ13">
        <v>8.1999999999999993</v>
      </c>
      <c r="AK13">
        <v>8.1999999999999993</v>
      </c>
      <c r="AL13">
        <v>-47.6</v>
      </c>
      <c r="AM13" t="s">
        <v>55</v>
      </c>
    </row>
    <row r="14" spans="1:39" x14ac:dyDescent="0.35">
      <c r="A14">
        <v>16331</v>
      </c>
      <c r="B14" t="s">
        <v>39</v>
      </c>
      <c r="C14" t="s">
        <v>161</v>
      </c>
      <c r="D14">
        <v>92</v>
      </c>
      <c r="E14" t="s">
        <v>162</v>
      </c>
      <c r="F14" t="s">
        <v>163</v>
      </c>
      <c r="G14" t="s">
        <v>58</v>
      </c>
      <c r="H14">
        <v>30.72</v>
      </c>
      <c r="I14" t="s">
        <v>164</v>
      </c>
      <c r="J14">
        <v>27.94</v>
      </c>
      <c r="K14" t="s">
        <v>40</v>
      </c>
      <c r="L14" t="s">
        <v>41</v>
      </c>
      <c r="M14" t="s">
        <v>42</v>
      </c>
      <c r="N14" t="s">
        <v>165</v>
      </c>
      <c r="O14" t="s">
        <v>166</v>
      </c>
      <c r="P14" t="s">
        <v>167</v>
      </c>
      <c r="Q14" t="s">
        <v>95</v>
      </c>
      <c r="R14" t="s">
        <v>47</v>
      </c>
      <c r="S14" t="s">
        <v>48</v>
      </c>
      <c r="T14">
        <v>1020</v>
      </c>
      <c r="U14" t="s">
        <v>55</v>
      </c>
      <c r="V14" t="s">
        <v>55</v>
      </c>
      <c r="W14" t="s">
        <v>160</v>
      </c>
      <c r="X14" t="s">
        <v>168</v>
      </c>
      <c r="Y14">
        <v>275</v>
      </c>
      <c r="Z14">
        <v>285</v>
      </c>
      <c r="AA14" t="s">
        <v>53</v>
      </c>
      <c r="AB14" t="s">
        <v>53</v>
      </c>
      <c r="AC14" t="s">
        <v>54</v>
      </c>
      <c r="AD14" t="s">
        <v>54</v>
      </c>
      <c r="AE14" t="s">
        <v>54</v>
      </c>
      <c r="AF14" t="s">
        <v>54</v>
      </c>
      <c r="AG14" t="s">
        <v>70</v>
      </c>
      <c r="AH14">
        <v>1.1000000000000001</v>
      </c>
      <c r="AI14">
        <v>1.1000000000000001</v>
      </c>
      <c r="AJ14">
        <v>1.1000000000000001</v>
      </c>
      <c r="AK14">
        <v>1.1000000000000001</v>
      </c>
      <c r="AL14">
        <v>-67.8</v>
      </c>
      <c r="AM14" t="s">
        <v>55</v>
      </c>
    </row>
    <row r="15" spans="1:39" x14ac:dyDescent="0.35">
      <c r="A15">
        <v>54759</v>
      </c>
      <c r="B15" t="s">
        <v>39</v>
      </c>
      <c r="C15" t="s">
        <v>169</v>
      </c>
      <c r="D15">
        <v>92</v>
      </c>
      <c r="E15" t="s">
        <v>170</v>
      </c>
      <c r="F15" t="s">
        <v>170</v>
      </c>
      <c r="G15" t="s">
        <v>58</v>
      </c>
      <c r="H15">
        <v>86.69</v>
      </c>
      <c r="I15" t="s">
        <v>171</v>
      </c>
      <c r="J15">
        <v>84.38</v>
      </c>
      <c r="K15" t="s">
        <v>40</v>
      </c>
      <c r="L15" t="s">
        <v>41</v>
      </c>
      <c r="M15" t="s">
        <v>42</v>
      </c>
      <c r="N15" t="s">
        <v>43</v>
      </c>
      <c r="O15" t="s">
        <v>44</v>
      </c>
      <c r="P15" t="s">
        <v>45</v>
      </c>
      <c r="Q15" t="s">
        <v>46</v>
      </c>
      <c r="R15" t="s">
        <v>55</v>
      </c>
      <c r="S15" t="s">
        <v>48</v>
      </c>
      <c r="T15">
        <v>320</v>
      </c>
      <c r="U15" t="s">
        <v>49</v>
      </c>
      <c r="V15" t="s">
        <v>50</v>
      </c>
      <c r="W15" t="s">
        <v>51</v>
      </c>
      <c r="X15" t="s">
        <v>52</v>
      </c>
      <c r="Y15">
        <v>290</v>
      </c>
      <c r="Z15">
        <v>300</v>
      </c>
      <c r="AA15" t="s">
        <v>53</v>
      </c>
      <c r="AB15" t="s">
        <v>53</v>
      </c>
      <c r="AC15" t="s">
        <v>54</v>
      </c>
      <c r="AD15" t="s">
        <v>54</v>
      </c>
      <c r="AE15" t="s">
        <v>54</v>
      </c>
      <c r="AF15" t="s">
        <v>54</v>
      </c>
      <c r="AG15" t="s">
        <v>70</v>
      </c>
      <c r="AH15">
        <v>-94.8</v>
      </c>
      <c r="AI15">
        <v>-82.7</v>
      </c>
      <c r="AJ15">
        <v>-40.799999999999997</v>
      </c>
      <c r="AK15">
        <v>1.1000000000000001</v>
      </c>
      <c r="AL15">
        <v>-82.7</v>
      </c>
      <c r="AM15" t="s">
        <v>172</v>
      </c>
    </row>
    <row r="16" spans="1:39" x14ac:dyDescent="0.35">
      <c r="A16">
        <v>32324</v>
      </c>
      <c r="B16" t="s">
        <v>39</v>
      </c>
      <c r="C16" t="s">
        <v>173</v>
      </c>
      <c r="D16">
        <v>92</v>
      </c>
      <c r="E16" t="s">
        <v>174</v>
      </c>
      <c r="F16" t="s">
        <v>174</v>
      </c>
      <c r="G16" t="s">
        <v>58</v>
      </c>
      <c r="H16">
        <v>173.02</v>
      </c>
      <c r="I16" t="s">
        <v>175</v>
      </c>
      <c r="J16">
        <v>172.52</v>
      </c>
      <c r="K16" t="s">
        <v>60</v>
      </c>
      <c r="L16" t="s">
        <v>61</v>
      </c>
      <c r="M16" t="s">
        <v>62</v>
      </c>
      <c r="N16" t="s">
        <v>176</v>
      </c>
      <c r="O16" t="s">
        <v>177</v>
      </c>
      <c r="P16" t="s">
        <v>65</v>
      </c>
      <c r="Q16" t="s">
        <v>46</v>
      </c>
      <c r="R16" t="s">
        <v>47</v>
      </c>
      <c r="S16" t="s">
        <v>67</v>
      </c>
      <c r="T16">
        <v>704</v>
      </c>
      <c r="U16" t="s">
        <v>178</v>
      </c>
      <c r="V16" t="s">
        <v>179</v>
      </c>
      <c r="W16" t="s">
        <v>180</v>
      </c>
      <c r="X16" t="s">
        <v>52</v>
      </c>
      <c r="Y16">
        <v>390</v>
      </c>
      <c r="Z16">
        <v>685</v>
      </c>
      <c r="AA16" t="s">
        <v>53</v>
      </c>
      <c r="AB16" t="s">
        <v>53</v>
      </c>
      <c r="AC16" t="s">
        <v>54</v>
      </c>
      <c r="AD16" t="s">
        <v>54</v>
      </c>
      <c r="AE16" t="s">
        <v>54</v>
      </c>
      <c r="AF16" t="s">
        <v>54</v>
      </c>
      <c r="AG16" t="s">
        <v>70</v>
      </c>
      <c r="AH16">
        <v>-132.69999999999999</v>
      </c>
      <c r="AI16">
        <v>-120.6</v>
      </c>
      <c r="AJ16">
        <v>-33.5</v>
      </c>
      <c r="AK16">
        <v>53.5</v>
      </c>
      <c r="AL16">
        <v>-120.6</v>
      </c>
      <c r="AM16" t="s">
        <v>55</v>
      </c>
    </row>
    <row r="17" spans="1:39" x14ac:dyDescent="0.35">
      <c r="A17">
        <v>33868</v>
      </c>
      <c r="B17" t="s">
        <v>39</v>
      </c>
      <c r="C17" t="s">
        <v>181</v>
      </c>
      <c r="D17">
        <v>92</v>
      </c>
      <c r="E17" t="s">
        <v>182</v>
      </c>
      <c r="F17" t="s">
        <v>182</v>
      </c>
      <c r="G17" t="s">
        <v>58</v>
      </c>
      <c r="H17">
        <v>55.42</v>
      </c>
      <c r="I17" t="s">
        <v>82</v>
      </c>
      <c r="J17">
        <v>55.42</v>
      </c>
      <c r="K17" t="s">
        <v>60</v>
      </c>
      <c r="L17" t="s">
        <v>61</v>
      </c>
      <c r="M17" t="s">
        <v>92</v>
      </c>
      <c r="N17" t="s">
        <v>183</v>
      </c>
      <c r="O17" t="s">
        <v>184</v>
      </c>
      <c r="P17" t="s">
        <v>85</v>
      </c>
      <c r="Q17" t="s">
        <v>86</v>
      </c>
      <c r="R17" t="s">
        <v>47</v>
      </c>
      <c r="S17" t="s">
        <v>67</v>
      </c>
      <c r="T17">
        <v>274</v>
      </c>
      <c r="U17" t="s">
        <v>185</v>
      </c>
      <c r="V17" t="s">
        <v>55</v>
      </c>
      <c r="W17" t="s">
        <v>186</v>
      </c>
      <c r="X17" t="s">
        <v>52</v>
      </c>
      <c r="Y17">
        <v>254</v>
      </c>
      <c r="Z17">
        <v>274</v>
      </c>
      <c r="AA17" t="s">
        <v>53</v>
      </c>
      <c r="AB17" t="s">
        <v>53</v>
      </c>
      <c r="AC17" t="s">
        <v>54</v>
      </c>
      <c r="AD17" t="s">
        <v>54</v>
      </c>
      <c r="AE17" t="s">
        <v>54</v>
      </c>
      <c r="AF17" t="s">
        <v>54</v>
      </c>
      <c r="AG17" t="s">
        <v>70</v>
      </c>
      <c r="AH17">
        <v>35.6</v>
      </c>
      <c r="AI17">
        <v>35.6</v>
      </c>
      <c r="AJ17">
        <v>35.6</v>
      </c>
      <c r="AK17">
        <v>35.6</v>
      </c>
      <c r="AL17">
        <v>7.4</v>
      </c>
      <c r="AM17" t="s">
        <v>55</v>
      </c>
    </row>
    <row r="18" spans="1:39" x14ac:dyDescent="0.35">
      <c r="A18">
        <v>16914</v>
      </c>
      <c r="B18" t="s">
        <v>39</v>
      </c>
      <c r="C18" t="s">
        <v>187</v>
      </c>
      <c r="D18">
        <v>92</v>
      </c>
      <c r="E18" t="s">
        <v>188</v>
      </c>
      <c r="F18" t="s">
        <v>188</v>
      </c>
      <c r="G18" t="s">
        <v>58</v>
      </c>
      <c r="H18">
        <v>76</v>
      </c>
      <c r="I18" t="s">
        <v>189</v>
      </c>
      <c r="J18">
        <v>75.400000000000006</v>
      </c>
      <c r="K18" t="s">
        <v>40</v>
      </c>
      <c r="L18" t="s">
        <v>41</v>
      </c>
      <c r="M18" t="s">
        <v>62</v>
      </c>
      <c r="N18" t="s">
        <v>190</v>
      </c>
      <c r="O18" t="s">
        <v>191</v>
      </c>
      <c r="P18" t="s">
        <v>85</v>
      </c>
      <c r="Q18" t="s">
        <v>86</v>
      </c>
      <c r="R18" t="s">
        <v>103</v>
      </c>
      <c r="S18" t="s">
        <v>67</v>
      </c>
      <c r="T18">
        <v>455</v>
      </c>
      <c r="U18" t="s">
        <v>192</v>
      </c>
      <c r="V18" t="s">
        <v>193</v>
      </c>
      <c r="W18" t="s">
        <v>194</v>
      </c>
      <c r="X18" t="s">
        <v>52</v>
      </c>
      <c r="Y18">
        <v>88</v>
      </c>
      <c r="Z18">
        <v>340</v>
      </c>
      <c r="AA18" t="s">
        <v>53</v>
      </c>
      <c r="AB18" t="s">
        <v>53</v>
      </c>
      <c r="AC18" t="s">
        <v>54</v>
      </c>
      <c r="AD18" t="s">
        <v>54</v>
      </c>
      <c r="AE18" t="s">
        <v>54</v>
      </c>
      <c r="AF18" t="s">
        <v>54</v>
      </c>
      <c r="AG18" t="s">
        <v>70</v>
      </c>
      <c r="AH18">
        <v>62.4</v>
      </c>
      <c r="AI18">
        <v>62.4</v>
      </c>
      <c r="AJ18">
        <v>62.4</v>
      </c>
      <c r="AK18">
        <v>62.4</v>
      </c>
      <c r="AL18">
        <v>24.1</v>
      </c>
      <c r="AM18" t="s">
        <v>55</v>
      </c>
    </row>
    <row r="19" spans="1:39" x14ac:dyDescent="0.35">
      <c r="A19">
        <v>18554</v>
      </c>
      <c r="B19" t="s">
        <v>39</v>
      </c>
      <c r="C19" t="s">
        <v>195</v>
      </c>
      <c r="D19">
        <v>92</v>
      </c>
      <c r="E19" t="s">
        <v>196</v>
      </c>
      <c r="F19" t="s">
        <v>196</v>
      </c>
      <c r="G19" t="s">
        <v>58</v>
      </c>
      <c r="H19">
        <v>37.43</v>
      </c>
      <c r="I19" t="s">
        <v>197</v>
      </c>
      <c r="J19">
        <v>37.43</v>
      </c>
      <c r="K19" t="s">
        <v>60</v>
      </c>
      <c r="L19" t="s">
        <v>61</v>
      </c>
      <c r="M19" t="s">
        <v>62</v>
      </c>
      <c r="N19" t="s">
        <v>198</v>
      </c>
      <c r="O19" t="s">
        <v>199</v>
      </c>
      <c r="P19" t="s">
        <v>65</v>
      </c>
      <c r="Q19" t="s">
        <v>46</v>
      </c>
      <c r="R19" t="s">
        <v>66</v>
      </c>
      <c r="S19" t="s">
        <v>67</v>
      </c>
      <c r="T19">
        <v>73</v>
      </c>
      <c r="U19" t="s">
        <v>200</v>
      </c>
      <c r="V19" t="s">
        <v>201</v>
      </c>
      <c r="W19" t="s">
        <v>202</v>
      </c>
      <c r="X19" t="s">
        <v>52</v>
      </c>
      <c r="Y19">
        <v>46</v>
      </c>
      <c r="Z19">
        <v>70</v>
      </c>
      <c r="AA19" t="s">
        <v>53</v>
      </c>
      <c r="AB19" t="s">
        <v>53</v>
      </c>
      <c r="AC19" t="s">
        <v>54</v>
      </c>
      <c r="AD19" t="s">
        <v>54</v>
      </c>
      <c r="AE19" t="s">
        <v>54</v>
      </c>
      <c r="AF19" t="s">
        <v>53</v>
      </c>
      <c r="AG19" t="s">
        <v>70</v>
      </c>
      <c r="AH19">
        <v>32.200000000000003</v>
      </c>
      <c r="AI19">
        <v>32.200000000000003</v>
      </c>
      <c r="AJ19">
        <v>32.200000000000003</v>
      </c>
      <c r="AK19">
        <v>32.200000000000003</v>
      </c>
      <c r="AL19">
        <v>-2.2000000000000002</v>
      </c>
      <c r="AM19" t="s">
        <v>55</v>
      </c>
    </row>
    <row r="20" spans="1:39" x14ac:dyDescent="0.35">
      <c r="A20">
        <v>25005</v>
      </c>
      <c r="B20" t="s">
        <v>39</v>
      </c>
      <c r="C20" t="s">
        <v>203</v>
      </c>
      <c r="D20">
        <v>92</v>
      </c>
      <c r="E20" t="s">
        <v>204</v>
      </c>
      <c r="F20" t="s">
        <v>204</v>
      </c>
      <c r="G20" t="s">
        <v>58</v>
      </c>
      <c r="H20">
        <v>343.58</v>
      </c>
      <c r="I20" t="s">
        <v>82</v>
      </c>
      <c r="J20">
        <v>342.58</v>
      </c>
      <c r="K20" t="s">
        <v>40</v>
      </c>
      <c r="L20" t="s">
        <v>41</v>
      </c>
      <c r="M20" t="s">
        <v>92</v>
      </c>
      <c r="N20" t="s">
        <v>205</v>
      </c>
      <c r="O20" t="s">
        <v>206</v>
      </c>
      <c r="P20" t="s">
        <v>85</v>
      </c>
      <c r="Q20" t="s">
        <v>86</v>
      </c>
      <c r="R20" t="s">
        <v>47</v>
      </c>
      <c r="S20" t="s">
        <v>67</v>
      </c>
      <c r="T20">
        <v>320</v>
      </c>
      <c r="U20" t="s">
        <v>207</v>
      </c>
      <c r="V20" t="s">
        <v>55</v>
      </c>
      <c r="W20" t="s">
        <v>55</v>
      </c>
      <c r="X20" t="s">
        <v>52</v>
      </c>
      <c r="Y20">
        <v>200</v>
      </c>
      <c r="Z20">
        <v>320</v>
      </c>
      <c r="AA20" t="s">
        <v>53</v>
      </c>
      <c r="AB20" t="s">
        <v>53</v>
      </c>
      <c r="AC20" t="s">
        <v>54</v>
      </c>
      <c r="AD20" t="s">
        <v>54</v>
      </c>
      <c r="AE20" t="s">
        <v>54</v>
      </c>
      <c r="AF20" t="s">
        <v>54</v>
      </c>
      <c r="AG20" t="s">
        <v>70</v>
      </c>
      <c r="AH20">
        <v>155</v>
      </c>
      <c r="AI20">
        <v>167.7</v>
      </c>
      <c r="AJ20">
        <v>178.7</v>
      </c>
      <c r="AK20">
        <v>189.6</v>
      </c>
      <c r="AL20">
        <v>167.7</v>
      </c>
      <c r="AM20" t="s">
        <v>55</v>
      </c>
    </row>
    <row r="21" spans="1:39" x14ac:dyDescent="0.35">
      <c r="A21">
        <v>39127</v>
      </c>
      <c r="B21" t="s">
        <v>39</v>
      </c>
      <c r="C21" t="s">
        <v>208</v>
      </c>
      <c r="D21">
        <v>92</v>
      </c>
      <c r="E21" t="s">
        <v>209</v>
      </c>
      <c r="F21" t="s">
        <v>209</v>
      </c>
      <c r="G21" t="s">
        <v>58</v>
      </c>
      <c r="H21">
        <v>108.46</v>
      </c>
      <c r="I21" t="s">
        <v>82</v>
      </c>
      <c r="J21">
        <v>107.46</v>
      </c>
      <c r="K21" t="s">
        <v>40</v>
      </c>
      <c r="L21" t="s">
        <v>41</v>
      </c>
      <c r="M21" t="s">
        <v>92</v>
      </c>
      <c r="N21" t="s">
        <v>210</v>
      </c>
      <c r="O21" t="s">
        <v>211</v>
      </c>
      <c r="P21" t="s">
        <v>85</v>
      </c>
      <c r="Q21" t="s">
        <v>86</v>
      </c>
      <c r="R21" t="s">
        <v>66</v>
      </c>
      <c r="S21" t="s">
        <v>67</v>
      </c>
      <c r="T21">
        <v>151</v>
      </c>
      <c r="U21" t="s">
        <v>212</v>
      </c>
      <c r="V21" t="s">
        <v>213</v>
      </c>
      <c r="W21" t="s">
        <v>105</v>
      </c>
      <c r="X21" t="s">
        <v>52</v>
      </c>
      <c r="Y21">
        <v>125</v>
      </c>
      <c r="Z21">
        <v>130</v>
      </c>
      <c r="AA21" t="s">
        <v>53</v>
      </c>
      <c r="AB21" t="s">
        <v>53</v>
      </c>
      <c r="AC21" t="s">
        <v>54</v>
      </c>
      <c r="AD21" t="s">
        <v>54</v>
      </c>
      <c r="AE21" t="s">
        <v>54</v>
      </c>
      <c r="AF21" t="s">
        <v>54</v>
      </c>
      <c r="AG21" t="s">
        <v>70</v>
      </c>
      <c r="AH21">
        <v>92.4</v>
      </c>
      <c r="AI21">
        <v>92.4</v>
      </c>
      <c r="AJ21">
        <v>92.4</v>
      </c>
      <c r="AK21">
        <v>92.4</v>
      </c>
      <c r="AL21">
        <v>63.6</v>
      </c>
      <c r="AM21" t="s">
        <v>55</v>
      </c>
    </row>
    <row r="22" spans="1:39" x14ac:dyDescent="0.35">
      <c r="A22">
        <v>31899</v>
      </c>
      <c r="B22" t="s">
        <v>39</v>
      </c>
      <c r="C22" t="s">
        <v>214</v>
      </c>
      <c r="D22">
        <v>92</v>
      </c>
      <c r="E22" t="s">
        <v>215</v>
      </c>
      <c r="F22" t="s">
        <v>215</v>
      </c>
      <c r="G22" t="s">
        <v>58</v>
      </c>
      <c r="H22">
        <v>135.99</v>
      </c>
      <c r="I22" t="s">
        <v>82</v>
      </c>
      <c r="J22">
        <v>135.49</v>
      </c>
      <c r="K22" t="s">
        <v>95</v>
      </c>
      <c r="L22" t="s">
        <v>95</v>
      </c>
      <c r="M22" t="s">
        <v>62</v>
      </c>
      <c r="N22" t="s">
        <v>216</v>
      </c>
      <c r="O22" t="s">
        <v>217</v>
      </c>
      <c r="P22" t="s">
        <v>95</v>
      </c>
      <c r="Q22" t="s">
        <v>95</v>
      </c>
      <c r="R22" t="s">
        <v>47</v>
      </c>
      <c r="S22" t="s">
        <v>67</v>
      </c>
      <c r="T22">
        <v>778</v>
      </c>
      <c r="U22" t="s">
        <v>218</v>
      </c>
      <c r="V22" t="s">
        <v>55</v>
      </c>
      <c r="W22" t="s">
        <v>55</v>
      </c>
      <c r="X22" t="s">
        <v>52</v>
      </c>
      <c r="Y22"/>
      <c r="Z22"/>
      <c r="AA22" t="s">
        <v>53</v>
      </c>
      <c r="AB22" t="s">
        <v>53</v>
      </c>
      <c r="AC22" t="s">
        <v>54</v>
      </c>
      <c r="AD22" t="s">
        <v>54</v>
      </c>
      <c r="AE22" t="s">
        <v>54</v>
      </c>
      <c r="AF22" t="s">
        <v>54</v>
      </c>
      <c r="AG22" t="s">
        <v>70</v>
      </c>
      <c r="AH22">
        <v>-56</v>
      </c>
      <c r="AI22">
        <v>-40.299999999999997</v>
      </c>
      <c r="AJ22">
        <v>-7.8</v>
      </c>
      <c r="AK22">
        <v>24.7</v>
      </c>
      <c r="AL22">
        <v>-40.299999999999997</v>
      </c>
      <c r="AM22" t="s">
        <v>55</v>
      </c>
    </row>
    <row r="23" spans="1:39" x14ac:dyDescent="0.35">
      <c r="A23">
        <v>16357</v>
      </c>
      <c r="B23" t="s">
        <v>39</v>
      </c>
      <c r="C23" t="s">
        <v>219</v>
      </c>
      <c r="D23">
        <v>92</v>
      </c>
      <c r="E23" t="s">
        <v>220</v>
      </c>
      <c r="F23" t="s">
        <v>220</v>
      </c>
      <c r="G23" t="s">
        <v>58</v>
      </c>
      <c r="H23">
        <v>61.16</v>
      </c>
      <c r="I23" t="s">
        <v>82</v>
      </c>
      <c r="J23">
        <v>60.46</v>
      </c>
      <c r="K23" t="s">
        <v>95</v>
      </c>
      <c r="L23" t="s">
        <v>95</v>
      </c>
      <c r="M23" t="s">
        <v>62</v>
      </c>
      <c r="N23" t="s">
        <v>221</v>
      </c>
      <c r="O23" t="s">
        <v>222</v>
      </c>
      <c r="P23" t="s">
        <v>95</v>
      </c>
      <c r="Q23" t="s">
        <v>95</v>
      </c>
      <c r="R23" t="s">
        <v>47</v>
      </c>
      <c r="S23" t="s">
        <v>67</v>
      </c>
      <c r="T23">
        <v>236</v>
      </c>
      <c r="U23" t="s">
        <v>223</v>
      </c>
      <c r="V23" t="s">
        <v>55</v>
      </c>
      <c r="W23" t="s">
        <v>55</v>
      </c>
      <c r="X23" t="s">
        <v>52</v>
      </c>
      <c r="Y23">
        <v>196</v>
      </c>
      <c r="Z23">
        <v>236</v>
      </c>
      <c r="AA23" t="s">
        <v>53</v>
      </c>
      <c r="AB23" t="s">
        <v>53</v>
      </c>
      <c r="AC23" t="s">
        <v>54</v>
      </c>
      <c r="AD23" t="s">
        <v>54</v>
      </c>
      <c r="AE23" t="s">
        <v>54</v>
      </c>
      <c r="AF23" t="s">
        <v>54</v>
      </c>
      <c r="AG23" t="s">
        <v>70</v>
      </c>
      <c r="AH23">
        <v>28.6</v>
      </c>
      <c r="AI23">
        <v>28.6</v>
      </c>
      <c r="AJ23">
        <v>28.6</v>
      </c>
      <c r="AK23">
        <v>28.6</v>
      </c>
      <c r="AL23">
        <v>-11.7</v>
      </c>
      <c r="AM23" t="s">
        <v>55</v>
      </c>
    </row>
    <row r="24" spans="1:39" x14ac:dyDescent="0.35">
      <c r="A24">
        <v>16308</v>
      </c>
      <c r="B24" t="s">
        <v>39</v>
      </c>
      <c r="C24" t="s">
        <v>224</v>
      </c>
      <c r="D24">
        <v>92</v>
      </c>
      <c r="E24" t="s">
        <v>225</v>
      </c>
      <c r="F24" t="s">
        <v>225</v>
      </c>
      <c r="G24" t="s">
        <v>58</v>
      </c>
      <c r="H24">
        <v>163.03</v>
      </c>
      <c r="I24" t="s">
        <v>82</v>
      </c>
      <c r="J24">
        <v>162.53</v>
      </c>
      <c r="K24" t="s">
        <v>40</v>
      </c>
      <c r="L24" t="s">
        <v>41</v>
      </c>
      <c r="M24" t="s">
        <v>226</v>
      </c>
      <c r="N24" t="s">
        <v>227</v>
      </c>
      <c r="O24" t="s">
        <v>228</v>
      </c>
      <c r="P24" t="s">
        <v>85</v>
      </c>
      <c r="Q24" t="s">
        <v>86</v>
      </c>
      <c r="R24" t="s">
        <v>47</v>
      </c>
      <c r="S24" t="s">
        <v>67</v>
      </c>
      <c r="T24">
        <v>203</v>
      </c>
      <c r="U24" t="s">
        <v>229</v>
      </c>
      <c r="V24" t="s">
        <v>55</v>
      </c>
      <c r="W24" t="s">
        <v>230</v>
      </c>
      <c r="X24" t="s">
        <v>52</v>
      </c>
      <c r="Y24">
        <v>112</v>
      </c>
      <c r="Z24">
        <v>203</v>
      </c>
      <c r="AA24" t="s">
        <v>53</v>
      </c>
      <c r="AB24" t="s">
        <v>53</v>
      </c>
      <c r="AC24" t="s">
        <v>54</v>
      </c>
      <c r="AD24" t="s">
        <v>54</v>
      </c>
      <c r="AE24" t="s">
        <v>54</v>
      </c>
      <c r="AF24" t="s">
        <v>54</v>
      </c>
      <c r="AG24" t="s">
        <v>70</v>
      </c>
      <c r="AH24">
        <v>144.30000000000001</v>
      </c>
      <c r="AI24">
        <v>144.30000000000001</v>
      </c>
      <c r="AJ24">
        <v>144.30000000000001</v>
      </c>
      <c r="AK24">
        <v>144.30000000000001</v>
      </c>
      <c r="AL24">
        <v>101.2</v>
      </c>
      <c r="AM24" t="s">
        <v>55</v>
      </c>
    </row>
    <row r="25" spans="1:39" x14ac:dyDescent="0.35">
      <c r="A25">
        <v>35475</v>
      </c>
      <c r="B25" t="s">
        <v>39</v>
      </c>
      <c r="C25" t="s">
        <v>231</v>
      </c>
      <c r="D25">
        <v>92</v>
      </c>
      <c r="E25" t="s">
        <v>232</v>
      </c>
      <c r="F25" t="s">
        <v>232</v>
      </c>
      <c r="G25" t="s">
        <v>58</v>
      </c>
      <c r="H25">
        <v>102.47</v>
      </c>
      <c r="I25" t="s">
        <v>82</v>
      </c>
      <c r="J25">
        <v>100.47</v>
      </c>
      <c r="K25" t="s">
        <v>40</v>
      </c>
      <c r="L25" t="s">
        <v>41</v>
      </c>
      <c r="M25" t="s">
        <v>92</v>
      </c>
      <c r="N25" t="s">
        <v>233</v>
      </c>
      <c r="O25" t="s">
        <v>234</v>
      </c>
      <c r="P25" t="s">
        <v>85</v>
      </c>
      <c r="Q25" t="s">
        <v>86</v>
      </c>
      <c r="R25" t="s">
        <v>66</v>
      </c>
      <c r="S25" t="s">
        <v>67</v>
      </c>
      <c r="T25">
        <v>140</v>
      </c>
      <c r="U25" t="s">
        <v>235</v>
      </c>
      <c r="V25" t="s">
        <v>55</v>
      </c>
      <c r="W25" t="s">
        <v>236</v>
      </c>
      <c r="X25" t="s">
        <v>52</v>
      </c>
      <c r="Y25">
        <v>68</v>
      </c>
      <c r="Z25">
        <v>112</v>
      </c>
      <c r="AA25" t="s">
        <v>53</v>
      </c>
      <c r="AB25" t="s">
        <v>53</v>
      </c>
      <c r="AC25" t="s">
        <v>54</v>
      </c>
      <c r="AD25" t="s">
        <v>54</v>
      </c>
      <c r="AE25" t="s">
        <v>54</v>
      </c>
      <c r="AF25" t="s">
        <v>54</v>
      </c>
      <c r="AG25" t="s">
        <v>70</v>
      </c>
      <c r="AH25">
        <v>95.1</v>
      </c>
      <c r="AI25">
        <v>95.1</v>
      </c>
      <c r="AJ25">
        <v>95.1</v>
      </c>
      <c r="AK25">
        <v>95.1</v>
      </c>
      <c r="AL25">
        <v>67.400000000000006</v>
      </c>
      <c r="AM25" t="s">
        <v>55</v>
      </c>
    </row>
    <row r="26" spans="1:39" x14ac:dyDescent="0.35">
      <c r="A26">
        <v>16960</v>
      </c>
      <c r="B26" t="s">
        <v>39</v>
      </c>
      <c r="C26" t="s">
        <v>237</v>
      </c>
      <c r="D26">
        <v>92</v>
      </c>
      <c r="E26" t="s">
        <v>238</v>
      </c>
      <c r="F26" t="s">
        <v>238</v>
      </c>
      <c r="G26" t="s">
        <v>58</v>
      </c>
      <c r="H26">
        <v>64.430000000000007</v>
      </c>
      <c r="I26" t="s">
        <v>82</v>
      </c>
      <c r="J26">
        <v>63.43</v>
      </c>
      <c r="K26" t="s">
        <v>95</v>
      </c>
      <c r="L26" t="s">
        <v>95</v>
      </c>
      <c r="M26" t="s">
        <v>92</v>
      </c>
      <c r="N26" t="s">
        <v>239</v>
      </c>
      <c r="O26" t="s">
        <v>240</v>
      </c>
      <c r="P26" t="s">
        <v>95</v>
      </c>
      <c r="Q26" t="s">
        <v>95</v>
      </c>
      <c r="R26" t="s">
        <v>47</v>
      </c>
      <c r="S26" t="s">
        <v>67</v>
      </c>
      <c r="T26">
        <v>182</v>
      </c>
      <c r="U26" t="s">
        <v>241</v>
      </c>
      <c r="V26" t="s">
        <v>55</v>
      </c>
      <c r="W26" t="s">
        <v>55</v>
      </c>
      <c r="X26" t="s">
        <v>52</v>
      </c>
      <c r="Y26">
        <v>157</v>
      </c>
      <c r="Z26">
        <v>159</v>
      </c>
      <c r="AA26" t="s">
        <v>53</v>
      </c>
      <c r="AB26" t="s">
        <v>53</v>
      </c>
      <c r="AC26" t="s">
        <v>54</v>
      </c>
      <c r="AD26" t="s">
        <v>54</v>
      </c>
      <c r="AE26" t="s">
        <v>54</v>
      </c>
      <c r="AF26" t="s">
        <v>53</v>
      </c>
      <c r="AG26" t="s">
        <v>70</v>
      </c>
      <c r="AH26">
        <v>51.1</v>
      </c>
      <c r="AI26">
        <v>51.1</v>
      </c>
      <c r="AJ26">
        <v>51.1</v>
      </c>
      <c r="AK26">
        <v>51.1</v>
      </c>
      <c r="AL26">
        <v>6.1</v>
      </c>
      <c r="AM26" t="s">
        <v>55</v>
      </c>
    </row>
    <row r="27" spans="1:39" x14ac:dyDescent="0.35">
      <c r="A27">
        <v>16691</v>
      </c>
      <c r="B27" t="s">
        <v>39</v>
      </c>
      <c r="C27" t="s">
        <v>242</v>
      </c>
      <c r="D27">
        <v>92</v>
      </c>
      <c r="E27" t="s">
        <v>243</v>
      </c>
      <c r="F27" t="s">
        <v>243</v>
      </c>
      <c r="G27" t="s">
        <v>58</v>
      </c>
      <c r="H27">
        <v>172.81</v>
      </c>
      <c r="I27" t="s">
        <v>82</v>
      </c>
      <c r="J27">
        <v>172.51</v>
      </c>
      <c r="K27" t="s">
        <v>95</v>
      </c>
      <c r="L27" t="s">
        <v>95</v>
      </c>
      <c r="M27" t="s">
        <v>92</v>
      </c>
      <c r="N27" t="s">
        <v>244</v>
      </c>
      <c r="O27" t="s">
        <v>245</v>
      </c>
      <c r="P27" t="s">
        <v>95</v>
      </c>
      <c r="Q27" t="s">
        <v>95</v>
      </c>
      <c r="R27" t="s">
        <v>47</v>
      </c>
      <c r="S27" t="s">
        <v>67</v>
      </c>
      <c r="T27">
        <v>320</v>
      </c>
      <c r="U27" t="s">
        <v>246</v>
      </c>
      <c r="V27" t="s">
        <v>55</v>
      </c>
      <c r="W27" t="s">
        <v>55</v>
      </c>
      <c r="X27" t="s">
        <v>52</v>
      </c>
      <c r="Y27">
        <v>292</v>
      </c>
      <c r="Z27">
        <v>312</v>
      </c>
      <c r="AA27" t="s">
        <v>53</v>
      </c>
      <c r="AB27" t="s">
        <v>53</v>
      </c>
      <c r="AC27" t="s">
        <v>54</v>
      </c>
      <c r="AD27" t="s">
        <v>54</v>
      </c>
      <c r="AE27" t="s">
        <v>54</v>
      </c>
      <c r="AF27" t="s">
        <v>54</v>
      </c>
      <c r="AG27" t="s">
        <v>70</v>
      </c>
      <c r="AH27">
        <v>24.2</v>
      </c>
      <c r="AI27">
        <v>36.299999999999997</v>
      </c>
      <c r="AJ27">
        <v>47.8</v>
      </c>
      <c r="AK27">
        <v>59.3</v>
      </c>
      <c r="AL27">
        <v>36.299999999999997</v>
      </c>
      <c r="AM27" t="s">
        <v>55</v>
      </c>
    </row>
    <row r="28" spans="1:39" x14ac:dyDescent="0.35">
      <c r="A28">
        <v>39884</v>
      </c>
      <c r="B28" t="s">
        <v>39</v>
      </c>
      <c r="C28" t="s">
        <v>247</v>
      </c>
      <c r="D28">
        <v>92</v>
      </c>
      <c r="E28" t="s">
        <v>248</v>
      </c>
      <c r="F28" t="s">
        <v>248</v>
      </c>
      <c r="G28" t="s">
        <v>58</v>
      </c>
      <c r="H28">
        <v>213.02</v>
      </c>
      <c r="I28" t="s">
        <v>249</v>
      </c>
      <c r="J28">
        <v>212.52</v>
      </c>
      <c r="K28" t="s">
        <v>60</v>
      </c>
      <c r="L28" t="s">
        <v>61</v>
      </c>
      <c r="M28" t="s">
        <v>92</v>
      </c>
      <c r="N28" t="s">
        <v>250</v>
      </c>
      <c r="O28" t="s">
        <v>251</v>
      </c>
      <c r="P28" t="s">
        <v>85</v>
      </c>
      <c r="Q28" t="s">
        <v>86</v>
      </c>
      <c r="R28" t="s">
        <v>47</v>
      </c>
      <c r="S28" t="s">
        <v>67</v>
      </c>
      <c r="T28">
        <v>362</v>
      </c>
      <c r="U28" t="s">
        <v>252</v>
      </c>
      <c r="V28" t="s">
        <v>253</v>
      </c>
      <c r="W28" t="s">
        <v>105</v>
      </c>
      <c r="X28" t="s">
        <v>52</v>
      </c>
      <c r="Y28">
        <v>270</v>
      </c>
      <c r="Z28">
        <v>362</v>
      </c>
      <c r="AA28" t="s">
        <v>53</v>
      </c>
      <c r="AB28" t="s">
        <v>53</v>
      </c>
      <c r="AC28" t="s">
        <v>54</v>
      </c>
      <c r="AD28" t="s">
        <v>54</v>
      </c>
      <c r="AE28" t="s">
        <v>54</v>
      </c>
      <c r="AF28" t="s">
        <v>54</v>
      </c>
      <c r="AG28" t="s">
        <v>70</v>
      </c>
      <c r="AH28">
        <v>-11.7</v>
      </c>
      <c r="AI28">
        <v>-4</v>
      </c>
      <c r="AJ28">
        <v>27</v>
      </c>
      <c r="AK28">
        <v>58</v>
      </c>
      <c r="AL28">
        <v>-4</v>
      </c>
      <c r="AM28" t="s">
        <v>55</v>
      </c>
    </row>
    <row r="29" spans="1:39" x14ac:dyDescent="0.35">
      <c r="A29">
        <v>50053</v>
      </c>
      <c r="B29" t="s">
        <v>39</v>
      </c>
      <c r="C29" t="s">
        <v>254</v>
      </c>
      <c r="D29">
        <v>92</v>
      </c>
      <c r="E29" t="s">
        <v>255</v>
      </c>
      <c r="F29" t="s">
        <v>256</v>
      </c>
      <c r="G29" t="s">
        <v>58</v>
      </c>
      <c r="H29">
        <v>115.58</v>
      </c>
      <c r="I29" t="s">
        <v>257</v>
      </c>
      <c r="J29">
        <v>115</v>
      </c>
      <c r="K29" t="s">
        <v>40</v>
      </c>
      <c r="L29" t="s">
        <v>41</v>
      </c>
      <c r="M29" t="s">
        <v>62</v>
      </c>
      <c r="N29" t="s">
        <v>258</v>
      </c>
      <c r="O29" t="s">
        <v>259</v>
      </c>
      <c r="P29" t="s">
        <v>85</v>
      </c>
      <c r="Q29" t="s">
        <v>260</v>
      </c>
      <c r="R29" t="s">
        <v>103</v>
      </c>
      <c r="S29" t="s">
        <v>67</v>
      </c>
      <c r="T29">
        <v>360</v>
      </c>
      <c r="U29" t="s">
        <v>261</v>
      </c>
      <c r="V29" t="s">
        <v>262</v>
      </c>
      <c r="W29" t="s">
        <v>55</v>
      </c>
      <c r="X29" t="s">
        <v>52</v>
      </c>
      <c r="Y29">
        <v>30</v>
      </c>
      <c r="Z29">
        <v>350</v>
      </c>
      <c r="AA29" t="s">
        <v>53</v>
      </c>
      <c r="AB29" t="s">
        <v>53</v>
      </c>
      <c r="AC29" t="s">
        <v>54</v>
      </c>
      <c r="AD29" t="s">
        <v>54</v>
      </c>
      <c r="AE29" t="s">
        <v>54</v>
      </c>
      <c r="AF29" t="s">
        <v>54</v>
      </c>
      <c r="AG29" t="s">
        <v>70</v>
      </c>
      <c r="AH29">
        <v>109.5</v>
      </c>
      <c r="AI29">
        <v>109.5</v>
      </c>
      <c r="AJ29">
        <v>109.5</v>
      </c>
      <c r="AK29">
        <v>109.5</v>
      </c>
      <c r="AL29">
        <v>75.599999999999994</v>
      </c>
      <c r="AM29" t="s">
        <v>55</v>
      </c>
    </row>
    <row r="30" spans="1:39" x14ac:dyDescent="0.35">
      <c r="A30">
        <v>39954</v>
      </c>
      <c r="B30" t="s">
        <v>263</v>
      </c>
      <c r="C30" t="s">
        <v>272</v>
      </c>
      <c r="D30">
        <v>92</v>
      </c>
      <c r="E30" t="s">
        <v>273</v>
      </c>
      <c r="F30" t="s">
        <v>273</v>
      </c>
      <c r="G30" t="s">
        <v>58</v>
      </c>
      <c r="H30">
        <v>162.84</v>
      </c>
      <c r="I30" t="s">
        <v>274</v>
      </c>
      <c r="J30">
        <v>161.84</v>
      </c>
      <c r="K30" t="s">
        <v>40</v>
      </c>
      <c r="L30" t="s">
        <v>41</v>
      </c>
      <c r="M30" t="s">
        <v>42</v>
      </c>
      <c r="N30" t="s">
        <v>265</v>
      </c>
      <c r="O30" t="s">
        <v>266</v>
      </c>
      <c r="P30" t="s">
        <v>267</v>
      </c>
      <c r="Q30" t="s">
        <v>260</v>
      </c>
      <c r="R30" t="s">
        <v>268</v>
      </c>
      <c r="S30" t="s">
        <v>48</v>
      </c>
      <c r="T30">
        <v>124</v>
      </c>
      <c r="U30" t="s">
        <v>269</v>
      </c>
      <c r="V30" t="s">
        <v>270</v>
      </c>
      <c r="W30" t="s">
        <v>275</v>
      </c>
      <c r="X30" t="s">
        <v>271</v>
      </c>
      <c r="Y30">
        <v>109</v>
      </c>
      <c r="Z30">
        <v>119</v>
      </c>
      <c r="AA30" t="s">
        <v>53</v>
      </c>
      <c r="AB30" t="s">
        <v>53</v>
      </c>
      <c r="AC30" t="s">
        <v>54</v>
      </c>
      <c r="AD30" t="s">
        <v>54</v>
      </c>
      <c r="AE30" t="s">
        <v>54</v>
      </c>
      <c r="AF30" t="s">
        <v>54</v>
      </c>
      <c r="AG30" t="s">
        <v>70</v>
      </c>
      <c r="AH30">
        <v>125.7</v>
      </c>
      <c r="AI30">
        <v>125.7</v>
      </c>
      <c r="AJ30">
        <v>125.7</v>
      </c>
      <c r="AK30">
        <v>125.7</v>
      </c>
      <c r="AL30">
        <v>76.8</v>
      </c>
      <c r="AM30" t="s">
        <v>55</v>
      </c>
    </row>
    <row r="31" spans="1:39" x14ac:dyDescent="0.35">
      <c r="A31">
        <v>38667</v>
      </c>
      <c r="B31" t="s">
        <v>263</v>
      </c>
      <c r="C31" t="s">
        <v>276</v>
      </c>
      <c r="D31">
        <v>92</v>
      </c>
      <c r="E31" t="s">
        <v>277</v>
      </c>
      <c r="F31" t="s">
        <v>277</v>
      </c>
      <c r="G31" t="s">
        <v>58</v>
      </c>
      <c r="H31">
        <v>231.93</v>
      </c>
      <c r="I31" t="s">
        <v>278</v>
      </c>
      <c r="J31">
        <v>230.51</v>
      </c>
      <c r="K31" t="s">
        <v>40</v>
      </c>
      <c r="L31" t="s">
        <v>41</v>
      </c>
      <c r="M31" t="s">
        <v>42</v>
      </c>
      <c r="N31" t="s">
        <v>279</v>
      </c>
      <c r="O31" t="s">
        <v>280</v>
      </c>
      <c r="P31" t="s">
        <v>267</v>
      </c>
      <c r="Q31" t="s">
        <v>260</v>
      </c>
      <c r="R31" t="s">
        <v>268</v>
      </c>
      <c r="S31" t="s">
        <v>48</v>
      </c>
      <c r="T31">
        <v>195</v>
      </c>
      <c r="U31" t="s">
        <v>281</v>
      </c>
      <c r="V31" t="s">
        <v>282</v>
      </c>
      <c r="W31" t="s">
        <v>283</v>
      </c>
      <c r="X31" t="s">
        <v>271</v>
      </c>
      <c r="Y31">
        <v>130</v>
      </c>
      <c r="Z31">
        <v>180</v>
      </c>
      <c r="AA31" t="s">
        <v>53</v>
      </c>
      <c r="AB31" t="s">
        <v>53</v>
      </c>
      <c r="AC31" t="s">
        <v>54</v>
      </c>
      <c r="AD31" t="s">
        <v>54</v>
      </c>
      <c r="AE31" t="s">
        <v>54</v>
      </c>
      <c r="AF31" t="s">
        <v>54</v>
      </c>
      <c r="AG31" t="s">
        <v>70</v>
      </c>
      <c r="AH31">
        <v>110.6</v>
      </c>
      <c r="AI31">
        <v>119.9</v>
      </c>
      <c r="AJ31">
        <v>149.69999999999999</v>
      </c>
      <c r="AK31">
        <v>179.4</v>
      </c>
      <c r="AL31">
        <v>119.9</v>
      </c>
      <c r="AM31" t="s">
        <v>55</v>
      </c>
    </row>
    <row r="32" spans="1:39" x14ac:dyDescent="0.35">
      <c r="A32">
        <v>38359</v>
      </c>
      <c r="B32" t="s">
        <v>263</v>
      </c>
      <c r="C32" t="s">
        <v>284</v>
      </c>
      <c r="D32">
        <v>92</v>
      </c>
      <c r="E32" t="s">
        <v>285</v>
      </c>
      <c r="F32" t="s">
        <v>285</v>
      </c>
      <c r="G32" t="s">
        <v>58</v>
      </c>
      <c r="H32">
        <v>180.31</v>
      </c>
      <c r="I32" t="s">
        <v>286</v>
      </c>
      <c r="J32">
        <v>178.41</v>
      </c>
      <c r="K32" t="s">
        <v>40</v>
      </c>
      <c r="L32" t="s">
        <v>41</v>
      </c>
      <c r="M32" t="s">
        <v>42</v>
      </c>
      <c r="N32" t="s">
        <v>287</v>
      </c>
      <c r="O32" t="s">
        <v>288</v>
      </c>
      <c r="P32" t="s">
        <v>267</v>
      </c>
      <c r="Q32" t="s">
        <v>260</v>
      </c>
      <c r="R32" t="s">
        <v>47</v>
      </c>
      <c r="S32" t="s">
        <v>48</v>
      </c>
      <c r="T32">
        <v>289</v>
      </c>
      <c r="U32" t="s">
        <v>289</v>
      </c>
      <c r="V32" t="s">
        <v>290</v>
      </c>
      <c r="W32" t="s">
        <v>291</v>
      </c>
      <c r="X32" t="s">
        <v>271</v>
      </c>
      <c r="Y32">
        <v>165</v>
      </c>
      <c r="Z32">
        <v>279</v>
      </c>
      <c r="AA32" t="s">
        <v>53</v>
      </c>
      <c r="AB32" t="s">
        <v>53</v>
      </c>
      <c r="AC32" t="s">
        <v>54</v>
      </c>
      <c r="AD32" t="s">
        <v>54</v>
      </c>
      <c r="AE32" t="s">
        <v>54</v>
      </c>
      <c r="AF32" t="s">
        <v>54</v>
      </c>
      <c r="AG32" t="s">
        <v>70</v>
      </c>
      <c r="AH32">
        <v>56.5</v>
      </c>
      <c r="AI32">
        <v>62.8</v>
      </c>
      <c r="AJ32">
        <v>94.3</v>
      </c>
      <c r="AK32">
        <v>125.7</v>
      </c>
      <c r="AL32">
        <v>62.8</v>
      </c>
      <c r="AM32" t="s">
        <v>55</v>
      </c>
    </row>
    <row r="33" spans="1:39" x14ac:dyDescent="0.35">
      <c r="A33">
        <v>25790</v>
      </c>
      <c r="B33" t="s">
        <v>263</v>
      </c>
      <c r="C33" t="s">
        <v>292</v>
      </c>
      <c r="D33">
        <v>92</v>
      </c>
      <c r="E33" t="s">
        <v>293</v>
      </c>
      <c r="F33" t="s">
        <v>293</v>
      </c>
      <c r="G33" t="s">
        <v>58</v>
      </c>
      <c r="H33">
        <v>167.63</v>
      </c>
      <c r="I33" t="s">
        <v>264</v>
      </c>
      <c r="J33">
        <v>166.65</v>
      </c>
      <c r="K33" t="s">
        <v>40</v>
      </c>
      <c r="L33" t="s">
        <v>41</v>
      </c>
      <c r="M33" t="s">
        <v>42</v>
      </c>
      <c r="N33" t="s">
        <v>294</v>
      </c>
      <c r="O33" t="s">
        <v>295</v>
      </c>
      <c r="P33" t="s">
        <v>267</v>
      </c>
      <c r="Q33" t="s">
        <v>260</v>
      </c>
      <c r="R33" t="s">
        <v>66</v>
      </c>
      <c r="S33" t="s">
        <v>48</v>
      </c>
      <c r="T33">
        <v>80</v>
      </c>
      <c r="U33" t="s">
        <v>296</v>
      </c>
      <c r="V33" t="s">
        <v>297</v>
      </c>
      <c r="W33" t="s">
        <v>298</v>
      </c>
      <c r="X33" t="s">
        <v>271</v>
      </c>
      <c r="Y33">
        <v>60</v>
      </c>
      <c r="Z33">
        <v>70</v>
      </c>
      <c r="AA33" t="s">
        <v>53</v>
      </c>
      <c r="AB33" t="s">
        <v>53</v>
      </c>
      <c r="AC33" t="s">
        <v>54</v>
      </c>
      <c r="AD33" t="s">
        <v>54</v>
      </c>
      <c r="AE33" t="s">
        <v>54</v>
      </c>
      <c r="AF33" t="s">
        <v>54</v>
      </c>
      <c r="AG33" t="s">
        <v>70</v>
      </c>
      <c r="AH33">
        <v>90.2</v>
      </c>
      <c r="AI33">
        <v>97.9</v>
      </c>
      <c r="AJ33">
        <v>108.5</v>
      </c>
      <c r="AK33">
        <v>119.2</v>
      </c>
      <c r="AL33">
        <v>97.9</v>
      </c>
      <c r="AM33" t="s">
        <v>55</v>
      </c>
    </row>
    <row r="34" spans="1:39" x14ac:dyDescent="0.35">
      <c r="A34">
        <v>25232</v>
      </c>
      <c r="B34" t="s">
        <v>263</v>
      </c>
      <c r="C34" t="s">
        <v>299</v>
      </c>
      <c r="D34">
        <v>92</v>
      </c>
      <c r="E34" t="s">
        <v>300</v>
      </c>
      <c r="F34" t="s">
        <v>301</v>
      </c>
      <c r="G34" t="s">
        <v>58</v>
      </c>
      <c r="H34">
        <v>206.77</v>
      </c>
      <c r="I34" t="s">
        <v>302</v>
      </c>
      <c r="J34">
        <v>203.32</v>
      </c>
      <c r="K34" t="s">
        <v>40</v>
      </c>
      <c r="L34" t="s">
        <v>41</v>
      </c>
      <c r="M34" t="s">
        <v>42</v>
      </c>
      <c r="N34" t="s">
        <v>303</v>
      </c>
      <c r="O34" t="s">
        <v>304</v>
      </c>
      <c r="P34" t="s">
        <v>85</v>
      </c>
      <c r="Q34" t="s">
        <v>86</v>
      </c>
      <c r="R34" t="s">
        <v>47</v>
      </c>
      <c r="S34" t="s">
        <v>67</v>
      </c>
      <c r="T34">
        <v>255</v>
      </c>
      <c r="U34" t="s">
        <v>305</v>
      </c>
      <c r="V34" t="s">
        <v>306</v>
      </c>
      <c r="W34" t="s">
        <v>307</v>
      </c>
      <c r="X34" t="s">
        <v>271</v>
      </c>
      <c r="Y34">
        <v>235</v>
      </c>
      <c r="Z34">
        <v>245</v>
      </c>
      <c r="AA34" t="s">
        <v>53</v>
      </c>
      <c r="AB34" t="s">
        <v>53</v>
      </c>
      <c r="AC34" t="s">
        <v>54</v>
      </c>
      <c r="AD34" t="s">
        <v>54</v>
      </c>
      <c r="AE34" t="s">
        <v>54</v>
      </c>
      <c r="AF34" t="s">
        <v>54</v>
      </c>
      <c r="AG34" t="s">
        <v>70</v>
      </c>
      <c r="AH34">
        <v>91</v>
      </c>
      <c r="AI34">
        <v>101.6</v>
      </c>
      <c r="AJ34">
        <v>128.69999999999999</v>
      </c>
      <c r="AK34">
        <v>155.80000000000001</v>
      </c>
      <c r="AL34">
        <v>101.6</v>
      </c>
      <c r="AM34" t="s">
        <v>55</v>
      </c>
    </row>
    <row r="35" spans="1:39" x14ac:dyDescent="0.35">
      <c r="A35">
        <v>24207</v>
      </c>
      <c r="B35" t="s">
        <v>263</v>
      </c>
      <c r="C35" t="s">
        <v>308</v>
      </c>
      <c r="D35">
        <v>92</v>
      </c>
      <c r="E35" t="s">
        <v>309</v>
      </c>
      <c r="F35" t="s">
        <v>309</v>
      </c>
      <c r="G35" t="s">
        <v>58</v>
      </c>
      <c r="H35">
        <v>151.49</v>
      </c>
      <c r="I35" t="s">
        <v>310</v>
      </c>
      <c r="J35">
        <v>149</v>
      </c>
      <c r="K35" t="s">
        <v>40</v>
      </c>
      <c r="L35" t="s">
        <v>41</v>
      </c>
      <c r="M35" t="s">
        <v>42</v>
      </c>
      <c r="N35" t="s">
        <v>311</v>
      </c>
      <c r="O35" t="s">
        <v>312</v>
      </c>
      <c r="P35" t="s">
        <v>267</v>
      </c>
      <c r="Q35" t="s">
        <v>260</v>
      </c>
      <c r="R35" t="s">
        <v>47</v>
      </c>
      <c r="S35" t="s">
        <v>48</v>
      </c>
      <c r="T35">
        <v>171</v>
      </c>
      <c r="U35" t="s">
        <v>313</v>
      </c>
      <c r="V35" t="s">
        <v>314</v>
      </c>
      <c r="W35" t="s">
        <v>315</v>
      </c>
      <c r="X35" t="s">
        <v>271</v>
      </c>
      <c r="Y35">
        <v>140</v>
      </c>
      <c r="Z35">
        <v>150</v>
      </c>
      <c r="AA35" t="s">
        <v>53</v>
      </c>
      <c r="AB35" t="s">
        <v>53</v>
      </c>
      <c r="AC35" t="s">
        <v>54</v>
      </c>
      <c r="AD35" t="s">
        <v>54</v>
      </c>
      <c r="AE35" t="s">
        <v>54</v>
      </c>
      <c r="AF35" t="s">
        <v>54</v>
      </c>
      <c r="AG35" t="s">
        <v>70</v>
      </c>
      <c r="AH35">
        <v>121.4</v>
      </c>
      <c r="AI35">
        <v>121.4</v>
      </c>
      <c r="AJ35">
        <v>121.4</v>
      </c>
      <c r="AK35">
        <v>121.4</v>
      </c>
      <c r="AL35">
        <v>77.8</v>
      </c>
      <c r="AM35" t="s">
        <v>55</v>
      </c>
    </row>
    <row r="36" spans="1:39" x14ac:dyDescent="0.35">
      <c r="A36">
        <v>23991</v>
      </c>
      <c r="B36" t="s">
        <v>263</v>
      </c>
      <c r="C36" t="s">
        <v>316</v>
      </c>
      <c r="D36">
        <v>92</v>
      </c>
      <c r="E36" t="s">
        <v>317</v>
      </c>
      <c r="F36" t="s">
        <v>317</v>
      </c>
      <c r="G36" t="s">
        <v>58</v>
      </c>
      <c r="H36">
        <v>105.1</v>
      </c>
      <c r="I36" t="s">
        <v>318</v>
      </c>
      <c r="J36">
        <v>102.2</v>
      </c>
      <c r="K36" t="s">
        <v>40</v>
      </c>
      <c r="L36" t="s">
        <v>41</v>
      </c>
      <c r="M36" t="s">
        <v>42</v>
      </c>
      <c r="N36" t="s">
        <v>319</v>
      </c>
      <c r="O36" t="s">
        <v>320</v>
      </c>
      <c r="P36" t="s">
        <v>267</v>
      </c>
      <c r="Q36" t="s">
        <v>260</v>
      </c>
      <c r="R36" t="s">
        <v>47</v>
      </c>
      <c r="S36" t="s">
        <v>48</v>
      </c>
      <c r="T36">
        <v>85</v>
      </c>
      <c r="U36" t="s">
        <v>321</v>
      </c>
      <c r="V36" t="s">
        <v>322</v>
      </c>
      <c r="W36" t="s">
        <v>323</v>
      </c>
      <c r="X36" t="s">
        <v>271</v>
      </c>
      <c r="Y36">
        <v>55</v>
      </c>
      <c r="Z36">
        <v>65</v>
      </c>
      <c r="AA36" t="s">
        <v>53</v>
      </c>
      <c r="AB36" t="s">
        <v>53</v>
      </c>
      <c r="AC36" t="s">
        <v>54</v>
      </c>
      <c r="AD36" t="s">
        <v>54</v>
      </c>
      <c r="AE36" t="s">
        <v>54</v>
      </c>
      <c r="AF36" t="s">
        <v>53</v>
      </c>
      <c r="AG36" t="s">
        <v>70</v>
      </c>
      <c r="AH36">
        <v>97.5</v>
      </c>
      <c r="AI36">
        <v>97.5</v>
      </c>
      <c r="AJ36">
        <v>97.5</v>
      </c>
      <c r="AK36">
        <v>97.5</v>
      </c>
      <c r="AL36">
        <v>66</v>
      </c>
      <c r="AM36" t="s">
        <v>55</v>
      </c>
    </row>
    <row r="37" spans="1:39" x14ac:dyDescent="0.35">
      <c r="A37">
        <v>23988</v>
      </c>
      <c r="B37" t="s">
        <v>263</v>
      </c>
      <c r="C37" t="s">
        <v>324</v>
      </c>
      <c r="D37">
        <v>92</v>
      </c>
      <c r="E37" t="s">
        <v>325</v>
      </c>
      <c r="F37" t="s">
        <v>325</v>
      </c>
      <c r="G37" t="s">
        <v>58</v>
      </c>
      <c r="H37">
        <v>133.97</v>
      </c>
      <c r="I37" t="s">
        <v>264</v>
      </c>
      <c r="J37">
        <v>131.38</v>
      </c>
      <c r="K37" t="s">
        <v>40</v>
      </c>
      <c r="L37" t="s">
        <v>41</v>
      </c>
      <c r="M37" t="s">
        <v>42</v>
      </c>
      <c r="N37" t="s">
        <v>326</v>
      </c>
      <c r="O37" t="s">
        <v>327</v>
      </c>
      <c r="P37" t="s">
        <v>267</v>
      </c>
      <c r="Q37" t="s">
        <v>260</v>
      </c>
      <c r="R37" t="s">
        <v>268</v>
      </c>
      <c r="S37" t="s">
        <v>48</v>
      </c>
      <c r="T37">
        <v>201</v>
      </c>
      <c r="U37" t="s">
        <v>328</v>
      </c>
      <c r="V37" t="s">
        <v>329</v>
      </c>
      <c r="W37" t="s">
        <v>330</v>
      </c>
      <c r="X37" t="s">
        <v>271</v>
      </c>
      <c r="Y37">
        <v>140</v>
      </c>
      <c r="Z37">
        <v>180</v>
      </c>
      <c r="AA37" t="s">
        <v>53</v>
      </c>
      <c r="AB37" t="s">
        <v>53</v>
      </c>
      <c r="AC37" t="s">
        <v>54</v>
      </c>
      <c r="AD37" t="s">
        <v>54</v>
      </c>
      <c r="AE37" t="s">
        <v>54</v>
      </c>
      <c r="AF37" t="s">
        <v>54</v>
      </c>
      <c r="AG37" t="s">
        <v>70</v>
      </c>
      <c r="AH37">
        <v>121.1</v>
      </c>
      <c r="AI37">
        <v>121.1</v>
      </c>
      <c r="AJ37">
        <v>121.1</v>
      </c>
      <c r="AK37">
        <v>121.1</v>
      </c>
      <c r="AL37">
        <v>73.3</v>
      </c>
      <c r="AM37" t="s">
        <v>55</v>
      </c>
    </row>
    <row r="38" spans="1:39" x14ac:dyDescent="0.35">
      <c r="A38">
        <v>21239</v>
      </c>
      <c r="B38" t="s">
        <v>263</v>
      </c>
      <c r="C38" t="s">
        <v>331</v>
      </c>
      <c r="D38">
        <v>92</v>
      </c>
      <c r="E38" t="s">
        <v>332</v>
      </c>
      <c r="F38" t="s">
        <v>332</v>
      </c>
      <c r="G38" t="s">
        <v>58</v>
      </c>
      <c r="H38">
        <v>136.29</v>
      </c>
      <c r="I38" t="s">
        <v>333</v>
      </c>
      <c r="J38">
        <v>135.38999999999999</v>
      </c>
      <c r="K38" t="s">
        <v>40</v>
      </c>
      <c r="L38" t="s">
        <v>41</v>
      </c>
      <c r="M38" t="s">
        <v>42</v>
      </c>
      <c r="N38" t="s">
        <v>334</v>
      </c>
      <c r="O38" t="s">
        <v>335</v>
      </c>
      <c r="P38" t="s">
        <v>267</v>
      </c>
      <c r="Q38" t="s">
        <v>260</v>
      </c>
      <c r="R38" t="s">
        <v>47</v>
      </c>
      <c r="S38" t="s">
        <v>67</v>
      </c>
      <c r="T38">
        <v>155</v>
      </c>
      <c r="U38" t="s">
        <v>336</v>
      </c>
      <c r="V38" t="s">
        <v>337</v>
      </c>
      <c r="W38" t="s">
        <v>338</v>
      </c>
      <c r="X38" t="s">
        <v>271</v>
      </c>
      <c r="Y38">
        <v>120</v>
      </c>
      <c r="Z38">
        <v>140</v>
      </c>
      <c r="AA38" t="s">
        <v>53</v>
      </c>
      <c r="AB38" t="s">
        <v>53</v>
      </c>
      <c r="AC38" t="s">
        <v>54</v>
      </c>
      <c r="AD38" t="s">
        <v>54</v>
      </c>
      <c r="AE38" t="s">
        <v>54</v>
      </c>
      <c r="AF38" t="s">
        <v>53</v>
      </c>
      <c r="AG38" t="s">
        <v>70</v>
      </c>
      <c r="AH38">
        <v>106.8</v>
      </c>
      <c r="AI38">
        <v>106.8</v>
      </c>
      <c r="AJ38">
        <v>106.8</v>
      </c>
      <c r="AK38">
        <v>106.8</v>
      </c>
      <c r="AL38">
        <v>62.5</v>
      </c>
      <c r="AM38" t="s">
        <v>55</v>
      </c>
    </row>
    <row r="39" spans="1:39" x14ac:dyDescent="0.35">
      <c r="A39">
        <v>19793</v>
      </c>
      <c r="B39" t="s">
        <v>263</v>
      </c>
      <c r="C39" t="s">
        <v>339</v>
      </c>
      <c r="D39">
        <v>92</v>
      </c>
      <c r="E39" t="s">
        <v>340</v>
      </c>
      <c r="F39" t="s">
        <v>340</v>
      </c>
      <c r="G39" t="s">
        <v>58</v>
      </c>
      <c r="H39">
        <v>87.11</v>
      </c>
      <c r="I39" t="s">
        <v>341</v>
      </c>
      <c r="J39">
        <v>87.41</v>
      </c>
      <c r="K39" t="s">
        <v>60</v>
      </c>
      <c r="L39" t="s">
        <v>61</v>
      </c>
      <c r="M39" t="s">
        <v>62</v>
      </c>
      <c r="N39" t="s">
        <v>342</v>
      </c>
      <c r="O39" t="s">
        <v>343</v>
      </c>
      <c r="P39" t="s">
        <v>267</v>
      </c>
      <c r="Q39" t="s">
        <v>260</v>
      </c>
      <c r="R39" t="s">
        <v>47</v>
      </c>
      <c r="S39" t="s">
        <v>67</v>
      </c>
      <c r="T39">
        <v>260</v>
      </c>
      <c r="U39" t="s">
        <v>344</v>
      </c>
      <c r="V39" t="s">
        <v>345</v>
      </c>
      <c r="W39" t="s">
        <v>346</v>
      </c>
      <c r="X39" t="s">
        <v>271</v>
      </c>
      <c r="Y39">
        <v>160</v>
      </c>
      <c r="Z39">
        <v>260</v>
      </c>
      <c r="AA39" t="s">
        <v>53</v>
      </c>
      <c r="AB39" t="s">
        <v>53</v>
      </c>
      <c r="AC39" t="s">
        <v>54</v>
      </c>
      <c r="AD39" t="s">
        <v>54</v>
      </c>
      <c r="AE39" t="s">
        <v>54</v>
      </c>
      <c r="AF39" t="s">
        <v>54</v>
      </c>
      <c r="AG39" t="s">
        <v>70</v>
      </c>
      <c r="AH39">
        <v>80.5</v>
      </c>
      <c r="AI39">
        <v>80.5</v>
      </c>
      <c r="AJ39">
        <v>80.5</v>
      </c>
      <c r="AK39">
        <v>80.5</v>
      </c>
      <c r="AL39">
        <v>52.8</v>
      </c>
      <c r="AM39" t="s">
        <v>55</v>
      </c>
    </row>
    <row r="40" spans="1:39" x14ac:dyDescent="0.35">
      <c r="A40">
        <v>37861</v>
      </c>
      <c r="B40" t="s">
        <v>263</v>
      </c>
      <c r="C40" t="s">
        <v>353</v>
      </c>
      <c r="D40">
        <v>92</v>
      </c>
      <c r="E40" t="s">
        <v>354</v>
      </c>
      <c r="F40" t="s">
        <v>354</v>
      </c>
      <c r="G40" t="s">
        <v>58</v>
      </c>
      <c r="H40">
        <v>181.75</v>
      </c>
      <c r="I40" t="s">
        <v>347</v>
      </c>
      <c r="J40">
        <v>179.17</v>
      </c>
      <c r="K40" t="s">
        <v>40</v>
      </c>
      <c r="L40" t="s">
        <v>41</v>
      </c>
      <c r="M40" t="s">
        <v>42</v>
      </c>
      <c r="N40" t="s">
        <v>355</v>
      </c>
      <c r="O40" t="s">
        <v>356</v>
      </c>
      <c r="P40" t="s">
        <v>267</v>
      </c>
      <c r="Q40" t="s">
        <v>260</v>
      </c>
      <c r="R40" t="s">
        <v>47</v>
      </c>
      <c r="S40" t="s">
        <v>48</v>
      </c>
      <c r="T40">
        <v>160</v>
      </c>
      <c r="U40" t="s">
        <v>357</v>
      </c>
      <c r="V40" t="s">
        <v>358</v>
      </c>
      <c r="W40" t="s">
        <v>359</v>
      </c>
      <c r="X40" t="s">
        <v>271</v>
      </c>
      <c r="Y40">
        <v>118</v>
      </c>
      <c r="Z40">
        <v>128</v>
      </c>
      <c r="AA40" t="s">
        <v>53</v>
      </c>
      <c r="AB40" t="s">
        <v>53</v>
      </c>
      <c r="AC40" t="s">
        <v>54</v>
      </c>
      <c r="AD40" t="s">
        <v>54</v>
      </c>
      <c r="AE40" t="s">
        <v>54</v>
      </c>
      <c r="AF40" t="s">
        <v>54</v>
      </c>
      <c r="AG40" t="s">
        <v>70</v>
      </c>
      <c r="AH40">
        <v>32.6</v>
      </c>
      <c r="AI40">
        <v>51.7</v>
      </c>
      <c r="AJ40">
        <v>84.1</v>
      </c>
      <c r="AK40">
        <v>116.5</v>
      </c>
      <c r="AL40">
        <v>51.7</v>
      </c>
      <c r="AM40" t="s">
        <v>55</v>
      </c>
    </row>
    <row r="41" spans="1:39" x14ac:dyDescent="0.35">
      <c r="A41">
        <v>36588</v>
      </c>
      <c r="B41" t="s">
        <v>263</v>
      </c>
      <c r="C41" t="s">
        <v>360</v>
      </c>
      <c r="D41">
        <v>92</v>
      </c>
      <c r="E41" t="s">
        <v>361</v>
      </c>
      <c r="F41" t="s">
        <v>361</v>
      </c>
      <c r="G41" t="s">
        <v>58</v>
      </c>
      <c r="H41">
        <v>190.91</v>
      </c>
      <c r="I41" t="s">
        <v>362</v>
      </c>
      <c r="J41">
        <v>188.93</v>
      </c>
      <c r="K41" t="s">
        <v>40</v>
      </c>
      <c r="L41" t="s">
        <v>41</v>
      </c>
      <c r="M41" t="s">
        <v>42</v>
      </c>
      <c r="N41" t="s">
        <v>363</v>
      </c>
      <c r="O41" t="s">
        <v>364</v>
      </c>
      <c r="P41" t="s">
        <v>267</v>
      </c>
      <c r="Q41" t="s">
        <v>260</v>
      </c>
      <c r="R41" t="s">
        <v>350</v>
      </c>
      <c r="S41" t="s">
        <v>48</v>
      </c>
      <c r="T41">
        <v>153</v>
      </c>
      <c r="U41" t="s">
        <v>365</v>
      </c>
      <c r="V41" t="s">
        <v>366</v>
      </c>
      <c r="W41" t="s">
        <v>367</v>
      </c>
      <c r="X41" t="s">
        <v>271</v>
      </c>
      <c r="Y41">
        <v>122</v>
      </c>
      <c r="Z41">
        <v>132</v>
      </c>
      <c r="AA41" t="s">
        <v>53</v>
      </c>
      <c r="AB41" t="s">
        <v>53</v>
      </c>
      <c r="AC41" t="s">
        <v>54</v>
      </c>
      <c r="AD41" t="s">
        <v>54</v>
      </c>
      <c r="AE41" t="s">
        <v>54</v>
      </c>
      <c r="AF41" t="s">
        <v>54</v>
      </c>
      <c r="AG41" t="s">
        <v>70</v>
      </c>
      <c r="AH41">
        <v>82.5</v>
      </c>
      <c r="AI41">
        <v>91.8</v>
      </c>
      <c r="AJ41">
        <v>122.6</v>
      </c>
      <c r="AK41">
        <v>153.4</v>
      </c>
      <c r="AL41">
        <v>91.8</v>
      </c>
      <c r="AM41" t="s">
        <v>55</v>
      </c>
    </row>
    <row r="42" spans="1:39" x14ac:dyDescent="0.35">
      <c r="A42">
        <v>25787</v>
      </c>
      <c r="B42" t="s">
        <v>263</v>
      </c>
      <c r="C42" t="s">
        <v>368</v>
      </c>
      <c r="D42">
        <v>92</v>
      </c>
      <c r="E42" t="s">
        <v>369</v>
      </c>
      <c r="F42" t="s">
        <v>370</v>
      </c>
      <c r="G42" t="s">
        <v>58</v>
      </c>
      <c r="H42">
        <v>187.83</v>
      </c>
      <c r="I42" t="s">
        <v>371</v>
      </c>
      <c r="J42">
        <v>185.83</v>
      </c>
      <c r="K42" t="s">
        <v>40</v>
      </c>
      <c r="L42" t="s">
        <v>41</v>
      </c>
      <c r="M42" t="s">
        <v>42</v>
      </c>
      <c r="N42" t="s">
        <v>372</v>
      </c>
      <c r="O42" t="s">
        <v>373</v>
      </c>
      <c r="P42" t="s">
        <v>85</v>
      </c>
      <c r="Q42" t="s">
        <v>86</v>
      </c>
      <c r="R42" t="s">
        <v>66</v>
      </c>
      <c r="S42" t="s">
        <v>67</v>
      </c>
      <c r="T42">
        <v>65</v>
      </c>
      <c r="U42" t="s">
        <v>374</v>
      </c>
      <c r="V42" t="s">
        <v>375</v>
      </c>
      <c r="W42" t="s">
        <v>376</v>
      </c>
      <c r="X42" t="s">
        <v>271</v>
      </c>
      <c r="Y42">
        <v>45</v>
      </c>
      <c r="Z42">
        <v>55</v>
      </c>
      <c r="AA42" t="s">
        <v>53</v>
      </c>
      <c r="AB42" t="s">
        <v>53</v>
      </c>
      <c r="AC42" t="s">
        <v>54</v>
      </c>
      <c r="AD42" t="s">
        <v>54</v>
      </c>
      <c r="AE42" t="s">
        <v>54</v>
      </c>
      <c r="AF42" t="s">
        <v>54</v>
      </c>
      <c r="AG42" t="s">
        <v>70</v>
      </c>
      <c r="AH42">
        <v>157.69999999999999</v>
      </c>
      <c r="AI42">
        <v>157.69999999999999</v>
      </c>
      <c r="AJ42">
        <v>157.69999999999999</v>
      </c>
      <c r="AK42">
        <v>157.69999999999999</v>
      </c>
      <c r="AL42">
        <v>117</v>
      </c>
      <c r="AM42" t="s">
        <v>55</v>
      </c>
    </row>
    <row r="43" spans="1:39" x14ac:dyDescent="0.35">
      <c r="A43">
        <v>25763</v>
      </c>
      <c r="B43" t="s">
        <v>263</v>
      </c>
      <c r="C43" t="s">
        <v>377</v>
      </c>
      <c r="D43">
        <v>92</v>
      </c>
      <c r="E43" t="s">
        <v>378</v>
      </c>
      <c r="F43" t="s">
        <v>378</v>
      </c>
      <c r="G43" t="s">
        <v>58</v>
      </c>
      <c r="H43">
        <v>109.38</v>
      </c>
      <c r="I43" t="s">
        <v>379</v>
      </c>
      <c r="J43">
        <v>108.36</v>
      </c>
      <c r="K43" t="s">
        <v>40</v>
      </c>
      <c r="L43" t="s">
        <v>41</v>
      </c>
      <c r="M43" t="s">
        <v>42</v>
      </c>
      <c r="N43" t="s">
        <v>380</v>
      </c>
      <c r="O43" t="s">
        <v>381</v>
      </c>
      <c r="P43" t="s">
        <v>267</v>
      </c>
      <c r="Q43" t="s">
        <v>260</v>
      </c>
      <c r="R43" t="s">
        <v>47</v>
      </c>
      <c r="S43" t="s">
        <v>48</v>
      </c>
      <c r="T43">
        <v>228</v>
      </c>
      <c r="U43" t="s">
        <v>382</v>
      </c>
      <c r="V43" t="s">
        <v>383</v>
      </c>
      <c r="W43" t="s">
        <v>384</v>
      </c>
      <c r="X43" t="s">
        <v>271</v>
      </c>
      <c r="Y43">
        <v>208</v>
      </c>
      <c r="Z43">
        <v>218</v>
      </c>
      <c r="AA43" t="s">
        <v>53</v>
      </c>
      <c r="AB43" t="s">
        <v>53</v>
      </c>
      <c r="AC43" t="s">
        <v>54</v>
      </c>
      <c r="AD43" t="s">
        <v>54</v>
      </c>
      <c r="AE43" t="s">
        <v>54</v>
      </c>
      <c r="AF43" t="s">
        <v>54</v>
      </c>
      <c r="AG43" t="s">
        <v>70</v>
      </c>
      <c r="AH43">
        <v>99.2</v>
      </c>
      <c r="AI43">
        <v>99.2</v>
      </c>
      <c r="AJ43">
        <v>99.2</v>
      </c>
      <c r="AK43">
        <v>99.2</v>
      </c>
      <c r="AL43">
        <v>34.700000000000003</v>
      </c>
      <c r="AM43" t="s">
        <v>55</v>
      </c>
    </row>
    <row r="44" spans="1:39" x14ac:dyDescent="0.35">
      <c r="A44">
        <v>25725</v>
      </c>
      <c r="B44" t="s">
        <v>263</v>
      </c>
      <c r="C44" t="s">
        <v>385</v>
      </c>
      <c r="D44">
        <v>92</v>
      </c>
      <c r="E44" t="s">
        <v>386</v>
      </c>
      <c r="F44" t="s">
        <v>386</v>
      </c>
      <c r="G44" t="s">
        <v>58</v>
      </c>
      <c r="H44">
        <v>249.88</v>
      </c>
      <c r="I44" t="s">
        <v>264</v>
      </c>
      <c r="J44">
        <v>247.88</v>
      </c>
      <c r="K44" t="s">
        <v>40</v>
      </c>
      <c r="L44" t="s">
        <v>41</v>
      </c>
      <c r="M44" t="s">
        <v>42</v>
      </c>
      <c r="N44" t="s">
        <v>387</v>
      </c>
      <c r="O44" t="s">
        <v>388</v>
      </c>
      <c r="P44" t="s">
        <v>267</v>
      </c>
      <c r="Q44" t="s">
        <v>260</v>
      </c>
      <c r="R44" t="s">
        <v>47</v>
      </c>
      <c r="S44" t="s">
        <v>48</v>
      </c>
      <c r="T44">
        <v>278</v>
      </c>
      <c r="U44" t="s">
        <v>389</v>
      </c>
      <c r="V44" t="s">
        <v>390</v>
      </c>
      <c r="W44" t="s">
        <v>391</v>
      </c>
      <c r="X44" t="s">
        <v>271</v>
      </c>
      <c r="Y44">
        <v>247</v>
      </c>
      <c r="Z44">
        <v>257</v>
      </c>
      <c r="AA44" t="s">
        <v>53</v>
      </c>
      <c r="AB44" t="s">
        <v>53</v>
      </c>
      <c r="AC44" t="s">
        <v>54</v>
      </c>
      <c r="AD44" t="s">
        <v>54</v>
      </c>
      <c r="AE44" t="s">
        <v>54</v>
      </c>
      <c r="AF44" t="s">
        <v>54</v>
      </c>
      <c r="AG44" t="s">
        <v>70</v>
      </c>
      <c r="AH44">
        <v>-4.2</v>
      </c>
      <c r="AI44">
        <v>22.3</v>
      </c>
      <c r="AJ44">
        <v>58.3</v>
      </c>
      <c r="AK44">
        <v>94.2</v>
      </c>
      <c r="AL44">
        <v>22.3</v>
      </c>
      <c r="AM44" t="s">
        <v>392</v>
      </c>
    </row>
    <row r="45" spans="1:39" x14ac:dyDescent="0.35">
      <c r="A45">
        <v>25233</v>
      </c>
      <c r="B45" t="s">
        <v>263</v>
      </c>
      <c r="C45" t="s">
        <v>393</v>
      </c>
      <c r="D45">
        <v>92</v>
      </c>
      <c r="E45" t="s">
        <v>394</v>
      </c>
      <c r="F45" t="s">
        <v>394</v>
      </c>
      <c r="G45" t="s">
        <v>58</v>
      </c>
      <c r="H45">
        <v>206.43</v>
      </c>
      <c r="I45" t="s">
        <v>362</v>
      </c>
      <c r="J45">
        <v>204.76</v>
      </c>
      <c r="K45" t="s">
        <v>40</v>
      </c>
      <c r="L45" t="s">
        <v>41</v>
      </c>
      <c r="M45" t="s">
        <v>42</v>
      </c>
      <c r="N45" t="s">
        <v>395</v>
      </c>
      <c r="O45" t="s">
        <v>396</v>
      </c>
      <c r="P45" t="s">
        <v>267</v>
      </c>
      <c r="Q45" t="s">
        <v>260</v>
      </c>
      <c r="R45" t="s">
        <v>268</v>
      </c>
      <c r="S45" t="s">
        <v>48</v>
      </c>
      <c r="T45">
        <v>191</v>
      </c>
      <c r="U45" t="s">
        <v>397</v>
      </c>
      <c r="V45" t="s">
        <v>398</v>
      </c>
      <c r="W45" t="s">
        <v>399</v>
      </c>
      <c r="X45" t="s">
        <v>271</v>
      </c>
      <c r="Y45">
        <v>142</v>
      </c>
      <c r="Z45">
        <v>170</v>
      </c>
      <c r="AA45" t="s">
        <v>53</v>
      </c>
      <c r="AB45" t="s">
        <v>53</v>
      </c>
      <c r="AC45" t="s">
        <v>54</v>
      </c>
      <c r="AD45" t="s">
        <v>54</v>
      </c>
      <c r="AE45" t="s">
        <v>54</v>
      </c>
      <c r="AF45" t="s">
        <v>54</v>
      </c>
      <c r="AG45" t="s">
        <v>70</v>
      </c>
      <c r="AH45">
        <v>96.5</v>
      </c>
      <c r="AI45">
        <v>108.2</v>
      </c>
      <c r="AJ45">
        <v>127.2</v>
      </c>
      <c r="AK45">
        <v>146.19999999999999</v>
      </c>
      <c r="AL45">
        <v>108.2</v>
      </c>
      <c r="AM45" t="s">
        <v>55</v>
      </c>
    </row>
    <row r="46" spans="1:39" x14ac:dyDescent="0.35">
      <c r="A46">
        <v>25727</v>
      </c>
      <c r="B46" t="s">
        <v>263</v>
      </c>
      <c r="C46" t="s">
        <v>400</v>
      </c>
      <c r="D46">
        <v>92</v>
      </c>
      <c r="E46" t="s">
        <v>401</v>
      </c>
      <c r="F46" t="s">
        <v>401</v>
      </c>
      <c r="G46" t="s">
        <v>58</v>
      </c>
      <c r="H46">
        <v>205.77</v>
      </c>
      <c r="I46" t="s">
        <v>278</v>
      </c>
      <c r="J46">
        <v>204.43</v>
      </c>
      <c r="K46" t="s">
        <v>40</v>
      </c>
      <c r="L46" t="s">
        <v>41</v>
      </c>
      <c r="M46" t="s">
        <v>42</v>
      </c>
      <c r="N46" t="s">
        <v>348</v>
      </c>
      <c r="O46" t="s">
        <v>349</v>
      </c>
      <c r="P46" t="s">
        <v>85</v>
      </c>
      <c r="Q46" t="s">
        <v>46</v>
      </c>
      <c r="R46" t="s">
        <v>350</v>
      </c>
      <c r="S46" t="s">
        <v>48</v>
      </c>
      <c r="T46">
        <v>275</v>
      </c>
      <c r="U46" t="s">
        <v>351</v>
      </c>
      <c r="V46" t="s">
        <v>352</v>
      </c>
      <c r="W46" t="s">
        <v>402</v>
      </c>
      <c r="X46" t="s">
        <v>271</v>
      </c>
      <c r="Y46">
        <v>130</v>
      </c>
      <c r="Z46">
        <v>260</v>
      </c>
      <c r="AA46" t="s">
        <v>53</v>
      </c>
      <c r="AB46" t="s">
        <v>53</v>
      </c>
      <c r="AC46" t="s">
        <v>54</v>
      </c>
      <c r="AD46" t="s">
        <v>54</v>
      </c>
      <c r="AE46" t="s">
        <v>54</v>
      </c>
      <c r="AF46" t="s">
        <v>54</v>
      </c>
      <c r="AG46" t="s">
        <v>70</v>
      </c>
      <c r="AH46">
        <v>73.599999999999994</v>
      </c>
      <c r="AI46">
        <v>82.9</v>
      </c>
      <c r="AJ46">
        <v>121.7</v>
      </c>
      <c r="AK46">
        <v>160.5</v>
      </c>
      <c r="AL46">
        <v>82.9</v>
      </c>
      <c r="AM46" t="s">
        <v>55</v>
      </c>
    </row>
    <row r="47" spans="1:39" x14ac:dyDescent="0.35">
      <c r="A47">
        <v>38358</v>
      </c>
      <c r="B47" t="s">
        <v>263</v>
      </c>
      <c r="C47" t="s">
        <v>403</v>
      </c>
      <c r="D47">
        <v>92</v>
      </c>
      <c r="E47" t="s">
        <v>404</v>
      </c>
      <c r="F47" t="s">
        <v>404</v>
      </c>
      <c r="G47" t="s">
        <v>58</v>
      </c>
      <c r="H47">
        <v>84.43</v>
      </c>
      <c r="I47" t="s">
        <v>347</v>
      </c>
      <c r="J47">
        <v>82.43</v>
      </c>
      <c r="K47" t="s">
        <v>40</v>
      </c>
      <c r="L47" t="s">
        <v>41</v>
      </c>
      <c r="M47" t="s">
        <v>42</v>
      </c>
      <c r="N47" t="s">
        <v>405</v>
      </c>
      <c r="O47" t="s">
        <v>406</v>
      </c>
      <c r="P47" t="s">
        <v>267</v>
      </c>
      <c r="Q47" t="s">
        <v>260</v>
      </c>
      <c r="R47" t="s">
        <v>47</v>
      </c>
      <c r="S47" t="s">
        <v>48</v>
      </c>
      <c r="T47">
        <v>266</v>
      </c>
      <c r="U47" t="s">
        <v>407</v>
      </c>
      <c r="V47" t="s">
        <v>408</v>
      </c>
      <c r="W47" t="s">
        <v>409</v>
      </c>
      <c r="X47" t="s">
        <v>271</v>
      </c>
      <c r="Y47">
        <v>246</v>
      </c>
      <c r="Z47">
        <v>256</v>
      </c>
      <c r="AA47" t="s">
        <v>53</v>
      </c>
      <c r="AB47" t="s">
        <v>53</v>
      </c>
      <c r="AC47" t="s">
        <v>54</v>
      </c>
      <c r="AD47" t="s">
        <v>54</v>
      </c>
      <c r="AE47" t="s">
        <v>54</v>
      </c>
      <c r="AF47" t="s">
        <v>54</v>
      </c>
      <c r="AG47" t="s">
        <v>70</v>
      </c>
      <c r="AH47">
        <v>62</v>
      </c>
      <c r="AI47">
        <v>62</v>
      </c>
      <c r="AJ47">
        <v>62</v>
      </c>
      <c r="AK47">
        <v>62</v>
      </c>
      <c r="AL47">
        <v>-2.2999999999999998</v>
      </c>
      <c r="AM47" t="s">
        <v>55</v>
      </c>
    </row>
    <row r="48" spans="1:39" x14ac:dyDescent="0.35">
      <c r="A48">
        <v>17174</v>
      </c>
      <c r="B48" t="s">
        <v>263</v>
      </c>
      <c r="C48" t="s">
        <v>410</v>
      </c>
      <c r="D48">
        <v>92</v>
      </c>
      <c r="E48" t="s">
        <v>411</v>
      </c>
      <c r="F48" t="s">
        <v>411</v>
      </c>
      <c r="G48" t="s">
        <v>58</v>
      </c>
      <c r="H48">
        <v>107.01</v>
      </c>
      <c r="I48" t="s">
        <v>412</v>
      </c>
      <c r="J48">
        <v>105.41</v>
      </c>
      <c r="K48" t="s">
        <v>60</v>
      </c>
      <c r="L48" t="s">
        <v>61</v>
      </c>
      <c r="M48" t="s">
        <v>42</v>
      </c>
      <c r="N48" t="s">
        <v>413</v>
      </c>
      <c r="O48" t="s">
        <v>414</v>
      </c>
      <c r="P48" t="s">
        <v>85</v>
      </c>
      <c r="Q48" t="s">
        <v>86</v>
      </c>
      <c r="R48" t="s">
        <v>47</v>
      </c>
      <c r="S48" t="s">
        <v>67</v>
      </c>
      <c r="T48">
        <v>326</v>
      </c>
      <c r="U48" t="s">
        <v>415</v>
      </c>
      <c r="V48" t="s">
        <v>416</v>
      </c>
      <c r="W48" t="s">
        <v>55</v>
      </c>
      <c r="X48" t="s">
        <v>271</v>
      </c>
      <c r="Y48">
        <v>100</v>
      </c>
      <c r="Z48">
        <v>320</v>
      </c>
      <c r="AA48" t="s">
        <v>53</v>
      </c>
      <c r="AB48" t="s">
        <v>53</v>
      </c>
      <c r="AC48" t="s">
        <v>54</v>
      </c>
      <c r="AD48" t="s">
        <v>54</v>
      </c>
      <c r="AE48" t="s">
        <v>54</v>
      </c>
      <c r="AF48" t="s">
        <v>54</v>
      </c>
      <c r="AG48" t="s">
        <v>70</v>
      </c>
      <c r="AH48">
        <v>99.1</v>
      </c>
      <c r="AI48">
        <v>99.1</v>
      </c>
      <c r="AJ48">
        <v>99.1</v>
      </c>
      <c r="AK48">
        <v>99.1</v>
      </c>
      <c r="AL48">
        <v>55.1</v>
      </c>
      <c r="AM48" t="s">
        <v>55</v>
      </c>
    </row>
    <row r="49" spans="1:39" x14ac:dyDescent="0.35">
      <c r="A49" s="15">
        <v>29675</v>
      </c>
      <c r="B49" s="15" t="s">
        <v>417</v>
      </c>
      <c r="C49" s="15" t="s">
        <v>418</v>
      </c>
      <c r="D49" s="15">
        <v>96</v>
      </c>
      <c r="E49" s="15" t="s">
        <v>419</v>
      </c>
      <c r="F49" s="15" t="s">
        <v>419</v>
      </c>
      <c r="G49" s="15" t="s">
        <v>58</v>
      </c>
      <c r="H49" s="15">
        <v>175.22300000000001</v>
      </c>
      <c r="I49" s="15" t="s">
        <v>82</v>
      </c>
      <c r="J49" s="15">
        <v>173.828</v>
      </c>
      <c r="K49" s="15" t="s">
        <v>40</v>
      </c>
      <c r="L49" s="15" t="s">
        <v>41</v>
      </c>
      <c r="M49" s="15" t="s">
        <v>92</v>
      </c>
      <c r="N49" s="15" t="s">
        <v>420</v>
      </c>
      <c r="O49" s="15" t="s">
        <v>421</v>
      </c>
      <c r="P49" s="15" t="s">
        <v>85</v>
      </c>
      <c r="Q49" s="15" t="s">
        <v>46</v>
      </c>
      <c r="R49" s="15" t="s">
        <v>422</v>
      </c>
      <c r="S49" s="15" t="s">
        <v>67</v>
      </c>
      <c r="T49" s="15">
        <v>100</v>
      </c>
      <c r="U49" s="15" t="s">
        <v>423</v>
      </c>
      <c r="V49" s="15" t="s">
        <v>55</v>
      </c>
      <c r="W49" s="15" t="s">
        <v>98</v>
      </c>
      <c r="X49" s="15" t="s">
        <v>168</v>
      </c>
      <c r="Y49" s="15">
        <v>89</v>
      </c>
      <c r="Z49" s="15">
        <v>99</v>
      </c>
      <c r="AA49" s="15" t="s">
        <v>53</v>
      </c>
      <c r="AB49" s="15" t="s">
        <v>53</v>
      </c>
      <c r="AC49" s="15" t="s">
        <v>54</v>
      </c>
      <c r="AD49" s="15" t="s">
        <v>54</v>
      </c>
      <c r="AE49" s="15" t="s">
        <v>54</v>
      </c>
      <c r="AF49" s="15" t="s">
        <v>54</v>
      </c>
      <c r="AG49" s="15" t="s">
        <v>424</v>
      </c>
      <c r="AH49" s="15">
        <v>163.4</v>
      </c>
      <c r="AI49" s="15">
        <v>163.4</v>
      </c>
      <c r="AJ49" s="15">
        <v>163.4</v>
      </c>
      <c r="AK49" s="15">
        <v>163.4</v>
      </c>
      <c r="AL49" s="15">
        <v>144.69999999999999</v>
      </c>
      <c r="AM49" s="15" t="s">
        <v>55</v>
      </c>
    </row>
    <row r="50" spans="1:39" x14ac:dyDescent="0.35">
      <c r="A50" s="15">
        <v>29309</v>
      </c>
      <c r="B50" s="15" t="s">
        <v>417</v>
      </c>
      <c r="C50" s="15" t="s">
        <v>425</v>
      </c>
      <c r="D50" s="15">
        <v>96</v>
      </c>
      <c r="E50" s="15" t="s">
        <v>426</v>
      </c>
      <c r="F50" s="15" t="s">
        <v>426</v>
      </c>
      <c r="G50" s="15" t="s">
        <v>58</v>
      </c>
      <c r="H50" s="15">
        <v>23.724</v>
      </c>
      <c r="I50" s="15" t="s">
        <v>427</v>
      </c>
      <c r="J50" s="15">
        <v>20.332000000000001</v>
      </c>
      <c r="K50" s="15" t="s">
        <v>40</v>
      </c>
      <c r="L50" s="15" t="s">
        <v>41</v>
      </c>
      <c r="M50" s="15" t="s">
        <v>62</v>
      </c>
      <c r="N50" s="15" t="s">
        <v>428</v>
      </c>
      <c r="O50" s="15" t="s">
        <v>429</v>
      </c>
      <c r="P50" s="15" t="s">
        <v>95</v>
      </c>
      <c r="Q50" s="15" t="s">
        <v>95</v>
      </c>
      <c r="R50" s="15" t="s">
        <v>422</v>
      </c>
      <c r="S50" s="15" t="s">
        <v>67</v>
      </c>
      <c r="T50" s="15">
        <v>88</v>
      </c>
      <c r="U50" s="15" t="s">
        <v>55</v>
      </c>
      <c r="V50" s="15" t="s">
        <v>55</v>
      </c>
      <c r="W50" s="15" t="s">
        <v>430</v>
      </c>
      <c r="X50" s="15" t="s">
        <v>168</v>
      </c>
      <c r="Y50" s="15"/>
      <c r="Z50" s="15"/>
      <c r="AA50" s="15" t="s">
        <v>53</v>
      </c>
      <c r="AB50" s="15" t="s">
        <v>53</v>
      </c>
      <c r="AC50" s="15" t="s">
        <v>54</v>
      </c>
      <c r="AD50" s="15" t="s">
        <v>54</v>
      </c>
      <c r="AE50" s="15" t="s">
        <v>54</v>
      </c>
      <c r="AF50" s="15" t="s">
        <v>54</v>
      </c>
      <c r="AG50" s="15" t="s">
        <v>424</v>
      </c>
      <c r="AH50" s="15">
        <v>0.5</v>
      </c>
      <c r="AI50" s="15">
        <v>0.5</v>
      </c>
      <c r="AJ50" s="15">
        <v>0.5</v>
      </c>
      <c r="AK50" s="15">
        <v>0.5</v>
      </c>
      <c r="AL50" s="15">
        <v>-27.1</v>
      </c>
      <c r="AM50" s="15" t="s">
        <v>55</v>
      </c>
    </row>
    <row r="51" spans="1:39" x14ac:dyDescent="0.35">
      <c r="A51" s="15">
        <v>16345</v>
      </c>
      <c r="B51" s="15" t="s">
        <v>417</v>
      </c>
      <c r="C51" s="15" t="s">
        <v>431</v>
      </c>
      <c r="D51" s="15">
        <v>96</v>
      </c>
      <c r="E51" s="15" t="s">
        <v>432</v>
      </c>
      <c r="F51" s="15" t="s">
        <v>432</v>
      </c>
      <c r="G51" s="15" t="s">
        <v>58</v>
      </c>
      <c r="H51" s="15">
        <v>140.381</v>
      </c>
      <c r="I51" s="15" t="s">
        <v>82</v>
      </c>
      <c r="J51" s="15">
        <v>138.93299999999999</v>
      </c>
      <c r="K51" s="15" t="s">
        <v>40</v>
      </c>
      <c r="L51" s="15" t="s">
        <v>41</v>
      </c>
      <c r="M51" s="15" t="s">
        <v>95</v>
      </c>
      <c r="N51" s="15" t="s">
        <v>433</v>
      </c>
      <c r="O51" s="15" t="s">
        <v>434</v>
      </c>
      <c r="P51" s="15" t="s">
        <v>95</v>
      </c>
      <c r="Q51" s="15" t="s">
        <v>95</v>
      </c>
      <c r="R51" s="15" t="s">
        <v>422</v>
      </c>
      <c r="S51" s="15" t="s">
        <v>67</v>
      </c>
      <c r="T51" s="15">
        <v>150</v>
      </c>
      <c r="U51" s="15" t="s">
        <v>55</v>
      </c>
      <c r="V51" s="15" t="s">
        <v>55</v>
      </c>
      <c r="W51" s="15" t="s">
        <v>435</v>
      </c>
      <c r="X51" s="15" t="s">
        <v>168</v>
      </c>
      <c r="Y51" s="15"/>
      <c r="Z51" s="15"/>
      <c r="AA51" s="15" t="s">
        <v>53</v>
      </c>
      <c r="AB51" s="15" t="s">
        <v>53</v>
      </c>
      <c r="AC51" s="15" t="s">
        <v>54</v>
      </c>
      <c r="AD51" s="15" t="s">
        <v>54</v>
      </c>
      <c r="AE51" s="15" t="s">
        <v>54</v>
      </c>
      <c r="AF51" s="15" t="s">
        <v>54</v>
      </c>
      <c r="AG51" s="15" t="s">
        <v>424</v>
      </c>
      <c r="AH51" s="15">
        <v>49.5</v>
      </c>
      <c r="AI51" s="15">
        <v>49.5</v>
      </c>
      <c r="AJ51" s="15">
        <v>49.5</v>
      </c>
      <c r="AK51" s="15">
        <v>49.5</v>
      </c>
      <c r="AL51" s="15">
        <v>-25.3</v>
      </c>
      <c r="AM51" s="15" t="s">
        <v>55</v>
      </c>
    </row>
    <row r="52" spans="1:39" x14ac:dyDescent="0.35">
      <c r="A52" s="15">
        <v>12045</v>
      </c>
      <c r="B52" s="15" t="s">
        <v>417</v>
      </c>
      <c r="C52" s="15" t="s">
        <v>436</v>
      </c>
      <c r="D52" s="15">
        <v>96</v>
      </c>
      <c r="E52" s="15" t="s">
        <v>437</v>
      </c>
      <c r="F52" s="15" t="s">
        <v>437</v>
      </c>
      <c r="G52" s="15" t="s">
        <v>58</v>
      </c>
      <c r="H52" s="15">
        <v>48.832000000000001</v>
      </c>
      <c r="I52" s="15" t="s">
        <v>82</v>
      </c>
      <c r="J52" s="15">
        <v>47.393999999999998</v>
      </c>
      <c r="K52" s="15" t="s">
        <v>40</v>
      </c>
      <c r="L52" s="15" t="s">
        <v>41</v>
      </c>
      <c r="M52" s="15" t="s">
        <v>92</v>
      </c>
      <c r="N52" s="15" t="s">
        <v>438</v>
      </c>
      <c r="O52" s="15" t="s">
        <v>439</v>
      </c>
      <c r="P52" s="15" t="s">
        <v>95</v>
      </c>
      <c r="Q52" s="15" t="s">
        <v>95</v>
      </c>
      <c r="R52" s="15" t="s">
        <v>422</v>
      </c>
      <c r="S52" s="15" t="s">
        <v>67</v>
      </c>
      <c r="T52" s="15">
        <v>172</v>
      </c>
      <c r="U52" s="15" t="s">
        <v>440</v>
      </c>
      <c r="V52" s="15" t="s">
        <v>55</v>
      </c>
      <c r="W52" s="15" t="s">
        <v>441</v>
      </c>
      <c r="X52" s="15" t="s">
        <v>168</v>
      </c>
      <c r="Y52" s="15">
        <v>156</v>
      </c>
      <c r="Z52" s="15">
        <v>172</v>
      </c>
      <c r="AA52" s="15" t="s">
        <v>53</v>
      </c>
      <c r="AB52" s="15" t="s">
        <v>53</v>
      </c>
      <c r="AC52" s="15" t="s">
        <v>54</v>
      </c>
      <c r="AD52" s="15" t="s">
        <v>54</v>
      </c>
      <c r="AE52" s="15" t="s">
        <v>54</v>
      </c>
      <c r="AF52" s="15" t="s">
        <v>54</v>
      </c>
      <c r="AG52" s="15" t="s">
        <v>424</v>
      </c>
      <c r="AH52" s="15">
        <v>-33.1</v>
      </c>
      <c r="AI52" s="15">
        <v>-33.1</v>
      </c>
      <c r="AJ52" s="15">
        <v>-33.1</v>
      </c>
      <c r="AK52" s="15">
        <v>-33.1</v>
      </c>
      <c r="AL52" s="15">
        <v>-129.80000000000001</v>
      </c>
      <c r="AM52" s="15" t="s">
        <v>55</v>
      </c>
    </row>
    <row r="53" spans="1:39" x14ac:dyDescent="0.35">
      <c r="A53" s="15">
        <v>9685</v>
      </c>
      <c r="B53" s="15" t="s">
        <v>417</v>
      </c>
      <c r="C53" s="15" t="s">
        <v>442</v>
      </c>
      <c r="D53" s="15">
        <v>96</v>
      </c>
      <c r="E53" s="15" t="s">
        <v>443</v>
      </c>
      <c r="F53" s="15" t="s">
        <v>443</v>
      </c>
      <c r="G53" s="15" t="s">
        <v>58</v>
      </c>
      <c r="H53" s="15">
        <v>98.54</v>
      </c>
      <c r="I53" s="15" t="s">
        <v>444</v>
      </c>
      <c r="J53" s="15">
        <v>98.54</v>
      </c>
      <c r="K53" s="15" t="s">
        <v>40</v>
      </c>
      <c r="L53" s="15" t="s">
        <v>41</v>
      </c>
      <c r="M53" s="15" t="s">
        <v>62</v>
      </c>
      <c r="N53" s="15" t="s">
        <v>445</v>
      </c>
      <c r="O53" s="15" t="s">
        <v>446</v>
      </c>
      <c r="P53" s="15" t="s">
        <v>95</v>
      </c>
      <c r="Q53" s="15" t="s">
        <v>95</v>
      </c>
      <c r="R53" s="15" t="s">
        <v>422</v>
      </c>
      <c r="S53" s="15" t="s">
        <v>67</v>
      </c>
      <c r="T53" s="15">
        <v>567</v>
      </c>
      <c r="U53" s="15" t="s">
        <v>447</v>
      </c>
      <c r="V53" s="15" t="s">
        <v>55</v>
      </c>
      <c r="W53" s="15" t="s">
        <v>55</v>
      </c>
      <c r="X53" s="15" t="s">
        <v>168</v>
      </c>
      <c r="Y53" s="15">
        <v>50</v>
      </c>
      <c r="Z53" s="15">
        <v>524</v>
      </c>
      <c r="AA53" s="15" t="s">
        <v>53</v>
      </c>
      <c r="AB53" s="15" t="s">
        <v>53</v>
      </c>
      <c r="AC53" s="15" t="s">
        <v>54</v>
      </c>
      <c r="AD53" s="15" t="s">
        <v>54</v>
      </c>
      <c r="AE53" s="15" t="s">
        <v>54</v>
      </c>
      <c r="AF53" s="15" t="s">
        <v>54</v>
      </c>
      <c r="AG53" s="15" t="s">
        <v>424</v>
      </c>
      <c r="AH53" s="15">
        <v>19.3</v>
      </c>
      <c r="AI53" s="15">
        <v>19.3</v>
      </c>
      <c r="AJ53" s="15">
        <v>19.3</v>
      </c>
      <c r="AK53" s="15">
        <v>19.3</v>
      </c>
      <c r="AL53" s="15">
        <v>-56.4</v>
      </c>
      <c r="AM53" s="15" t="s">
        <v>55</v>
      </c>
    </row>
    <row r="54" spans="1:39" x14ac:dyDescent="0.35">
      <c r="A54" s="15">
        <v>11791</v>
      </c>
      <c r="B54" s="15" t="s">
        <v>417</v>
      </c>
      <c r="C54" s="15" t="s">
        <v>448</v>
      </c>
      <c r="D54" s="15">
        <v>96</v>
      </c>
      <c r="E54" s="15" t="s">
        <v>449</v>
      </c>
      <c r="F54" s="15" t="s">
        <v>449</v>
      </c>
      <c r="G54" s="15" t="s">
        <v>58</v>
      </c>
      <c r="H54" s="15">
        <v>54.207000000000001</v>
      </c>
      <c r="I54" s="15" t="s">
        <v>82</v>
      </c>
      <c r="J54" s="15">
        <v>53.537999999999997</v>
      </c>
      <c r="K54" s="15" t="s">
        <v>40</v>
      </c>
      <c r="L54" s="15" t="s">
        <v>41</v>
      </c>
      <c r="M54" s="15" t="s">
        <v>92</v>
      </c>
      <c r="N54" s="15" t="s">
        <v>450</v>
      </c>
      <c r="O54" s="15" t="s">
        <v>451</v>
      </c>
      <c r="P54" s="15" t="s">
        <v>95</v>
      </c>
      <c r="Q54" s="15" t="s">
        <v>95</v>
      </c>
      <c r="R54" s="15" t="s">
        <v>422</v>
      </c>
      <c r="S54" s="15" t="s">
        <v>67</v>
      </c>
      <c r="T54" s="15">
        <v>120</v>
      </c>
      <c r="U54" s="15" t="s">
        <v>452</v>
      </c>
      <c r="V54" s="15" t="s">
        <v>55</v>
      </c>
      <c r="W54" s="15" t="s">
        <v>98</v>
      </c>
      <c r="X54" s="15" t="s">
        <v>168</v>
      </c>
      <c r="Y54" s="15">
        <v>39</v>
      </c>
      <c r="Z54" s="15">
        <v>79</v>
      </c>
      <c r="AA54" s="15" t="s">
        <v>53</v>
      </c>
      <c r="AB54" s="15" t="s">
        <v>53</v>
      </c>
      <c r="AC54" s="15" t="s">
        <v>54</v>
      </c>
      <c r="AD54" s="15" t="s">
        <v>54</v>
      </c>
      <c r="AE54" s="15" t="s">
        <v>54</v>
      </c>
      <c r="AF54" s="15" t="s">
        <v>54</v>
      </c>
      <c r="AG54" s="15" t="s">
        <v>424</v>
      </c>
      <c r="AH54" s="15">
        <v>35.700000000000003</v>
      </c>
      <c r="AI54" s="15">
        <v>35.700000000000003</v>
      </c>
      <c r="AJ54" s="15">
        <v>35.700000000000003</v>
      </c>
      <c r="AK54" s="15">
        <v>35.700000000000003</v>
      </c>
      <c r="AL54" s="15">
        <v>9.9</v>
      </c>
      <c r="AM54" s="15" t="s">
        <v>55</v>
      </c>
    </row>
    <row r="55" spans="1:39" x14ac:dyDescent="0.35">
      <c r="A55" s="15">
        <v>12761</v>
      </c>
      <c r="B55" s="15" t="s">
        <v>417</v>
      </c>
      <c r="C55" s="15" t="s">
        <v>453</v>
      </c>
      <c r="D55" s="15">
        <v>96</v>
      </c>
      <c r="E55" s="15" t="s">
        <v>454</v>
      </c>
      <c r="F55" s="15" t="s">
        <v>454</v>
      </c>
      <c r="G55" s="15" t="s">
        <v>58</v>
      </c>
      <c r="H55" s="15">
        <v>49.133000000000003</v>
      </c>
      <c r="I55" s="15" t="s">
        <v>82</v>
      </c>
      <c r="J55" s="15">
        <v>48.424999999999997</v>
      </c>
      <c r="K55" s="15" t="s">
        <v>40</v>
      </c>
      <c r="L55" s="15" t="s">
        <v>41</v>
      </c>
      <c r="M55" s="15" t="s">
        <v>92</v>
      </c>
      <c r="N55" s="15" t="s">
        <v>455</v>
      </c>
      <c r="O55" s="15" t="s">
        <v>456</v>
      </c>
      <c r="P55" s="15" t="s">
        <v>95</v>
      </c>
      <c r="Q55" s="15" t="s">
        <v>95</v>
      </c>
      <c r="R55" s="15" t="s">
        <v>422</v>
      </c>
      <c r="S55" s="15" t="s">
        <v>67</v>
      </c>
      <c r="T55" s="15">
        <v>232</v>
      </c>
      <c r="U55" s="15" t="s">
        <v>457</v>
      </c>
      <c r="V55" s="15" t="s">
        <v>55</v>
      </c>
      <c r="W55" s="15" t="s">
        <v>98</v>
      </c>
      <c r="X55" s="15" t="s">
        <v>168</v>
      </c>
      <c r="Y55" s="15">
        <v>220</v>
      </c>
      <c r="Z55" s="15">
        <v>232</v>
      </c>
      <c r="AA55" s="15" t="s">
        <v>53</v>
      </c>
      <c r="AB55" s="15" t="s">
        <v>53</v>
      </c>
      <c r="AC55" s="15" t="s">
        <v>54</v>
      </c>
      <c r="AD55" s="15" t="s">
        <v>54</v>
      </c>
      <c r="AE55" s="15" t="s">
        <v>54</v>
      </c>
      <c r="AF55" s="15" t="s">
        <v>53</v>
      </c>
      <c r="AG55" s="15" t="s">
        <v>424</v>
      </c>
      <c r="AH55" s="15">
        <v>28.8</v>
      </c>
      <c r="AI55" s="15">
        <v>28.8</v>
      </c>
      <c r="AJ55" s="15">
        <v>28.8</v>
      </c>
      <c r="AK55" s="15">
        <v>28.8</v>
      </c>
      <c r="AL55" s="15">
        <v>-31.6</v>
      </c>
      <c r="AM55" s="15" t="s">
        <v>55</v>
      </c>
    </row>
    <row r="56" spans="1:39" x14ac:dyDescent="0.35">
      <c r="A56" s="15">
        <v>57308</v>
      </c>
      <c r="B56" s="15" t="s">
        <v>417</v>
      </c>
      <c r="C56" s="15" t="s">
        <v>458</v>
      </c>
      <c r="D56" s="15">
        <v>96</v>
      </c>
      <c r="E56" s="15" t="s">
        <v>459</v>
      </c>
      <c r="F56" s="15" t="s">
        <v>459</v>
      </c>
      <c r="G56" s="15" t="s">
        <v>58</v>
      </c>
      <c r="H56" s="15">
        <v>390.22</v>
      </c>
      <c r="I56" s="15" t="s">
        <v>460</v>
      </c>
      <c r="J56" s="15">
        <v>389.49</v>
      </c>
      <c r="K56" s="15" t="s">
        <v>40</v>
      </c>
      <c r="L56" s="15" t="s">
        <v>41</v>
      </c>
      <c r="M56" s="15" t="s">
        <v>92</v>
      </c>
      <c r="N56" s="15" t="s">
        <v>461</v>
      </c>
      <c r="O56" s="15" t="s">
        <v>462</v>
      </c>
      <c r="P56" s="15" t="s">
        <v>85</v>
      </c>
      <c r="Q56" s="15" t="s">
        <v>46</v>
      </c>
      <c r="R56" s="15" t="s">
        <v>422</v>
      </c>
      <c r="S56" s="15" t="s">
        <v>67</v>
      </c>
      <c r="T56" s="15">
        <v>207</v>
      </c>
      <c r="U56" s="15" t="s">
        <v>463</v>
      </c>
      <c r="V56" s="15" t="s">
        <v>55</v>
      </c>
      <c r="W56" s="15" t="s">
        <v>55</v>
      </c>
      <c r="X56" s="15" t="s">
        <v>168</v>
      </c>
      <c r="Y56" s="15">
        <v>60</v>
      </c>
      <c r="Z56" s="15">
        <v>180</v>
      </c>
      <c r="AA56" s="15" t="s">
        <v>53</v>
      </c>
      <c r="AB56" s="15" t="s">
        <v>53</v>
      </c>
      <c r="AC56" s="15" t="s">
        <v>54</v>
      </c>
      <c r="AD56" s="15" t="s">
        <v>54</v>
      </c>
      <c r="AE56" s="15" t="s">
        <v>54</v>
      </c>
      <c r="AF56" s="15" t="s">
        <v>54</v>
      </c>
      <c r="AG56" s="15" t="s">
        <v>424</v>
      </c>
      <c r="AH56" s="15">
        <v>324.8</v>
      </c>
      <c r="AI56" s="15">
        <v>324.8</v>
      </c>
      <c r="AJ56" s="15">
        <v>324.8</v>
      </c>
      <c r="AK56" s="15">
        <v>324.8</v>
      </c>
      <c r="AL56" s="15">
        <v>281.10000000000002</v>
      </c>
      <c r="AM56" s="15" t="s">
        <v>55</v>
      </c>
    </row>
    <row r="57" spans="1:39" x14ac:dyDescent="0.35">
      <c r="A57" s="15">
        <v>57309</v>
      </c>
      <c r="B57" s="15" t="s">
        <v>417</v>
      </c>
      <c r="C57" s="15" t="s">
        <v>464</v>
      </c>
      <c r="D57" s="15">
        <v>96</v>
      </c>
      <c r="E57" s="15" t="s">
        <v>465</v>
      </c>
      <c r="F57" s="15" t="s">
        <v>465</v>
      </c>
      <c r="G57" s="15" t="s">
        <v>58</v>
      </c>
      <c r="H57" s="15">
        <v>43.87</v>
      </c>
      <c r="I57" s="15" t="s">
        <v>427</v>
      </c>
      <c r="J57" s="15">
        <v>43.29</v>
      </c>
      <c r="K57" s="15" t="s">
        <v>40</v>
      </c>
      <c r="L57" s="15" t="s">
        <v>41</v>
      </c>
      <c r="M57" s="15" t="s">
        <v>466</v>
      </c>
      <c r="N57" s="15" t="s">
        <v>467</v>
      </c>
      <c r="O57" s="15" t="s">
        <v>468</v>
      </c>
      <c r="P57" s="15" t="s">
        <v>85</v>
      </c>
      <c r="Q57" s="15" t="s">
        <v>46</v>
      </c>
      <c r="R57" s="15" t="s">
        <v>422</v>
      </c>
      <c r="S57" s="15" t="s">
        <v>67</v>
      </c>
      <c r="T57" s="15">
        <v>460</v>
      </c>
      <c r="U57" s="15" t="s">
        <v>469</v>
      </c>
      <c r="V57" s="15" t="s">
        <v>55</v>
      </c>
      <c r="W57" s="15" t="s">
        <v>55</v>
      </c>
      <c r="X57" s="15" t="s">
        <v>168</v>
      </c>
      <c r="Y57" s="15">
        <v>208</v>
      </c>
      <c r="Z57" s="15">
        <v>447</v>
      </c>
      <c r="AA57" s="15" t="s">
        <v>53</v>
      </c>
      <c r="AB57" s="15" t="s">
        <v>53</v>
      </c>
      <c r="AC57" s="15" t="s">
        <v>54</v>
      </c>
      <c r="AD57" s="15" t="s">
        <v>54</v>
      </c>
      <c r="AE57" s="15" t="s">
        <v>54</v>
      </c>
      <c r="AF57" s="15" t="s">
        <v>54</v>
      </c>
      <c r="AG57" s="15" t="s">
        <v>424</v>
      </c>
      <c r="AH57" s="15">
        <v>-25.1</v>
      </c>
      <c r="AI57" s="15">
        <v>-25.1</v>
      </c>
      <c r="AJ57" s="15">
        <v>-25.1</v>
      </c>
      <c r="AK57" s="15">
        <v>-25.1</v>
      </c>
      <c r="AL57" s="15">
        <v>-61.3</v>
      </c>
      <c r="AM57" s="15" t="s">
        <v>55</v>
      </c>
    </row>
    <row r="58" spans="1:39" x14ac:dyDescent="0.35">
      <c r="A58" s="15">
        <v>57307</v>
      </c>
      <c r="B58" s="15" t="s">
        <v>417</v>
      </c>
      <c r="C58" s="15" t="s">
        <v>470</v>
      </c>
      <c r="D58" s="15">
        <v>96</v>
      </c>
      <c r="E58" s="15" t="s">
        <v>471</v>
      </c>
      <c r="F58" s="15" t="s">
        <v>471</v>
      </c>
      <c r="G58" s="15" t="s">
        <v>58</v>
      </c>
      <c r="H58" s="15">
        <v>369.02</v>
      </c>
      <c r="I58" s="15" t="s">
        <v>472</v>
      </c>
      <c r="J58" s="15">
        <v>367.94</v>
      </c>
      <c r="K58" s="15" t="s">
        <v>40</v>
      </c>
      <c r="L58" s="15" t="s">
        <v>41</v>
      </c>
      <c r="M58" s="15" t="s">
        <v>92</v>
      </c>
      <c r="N58" s="15" t="s">
        <v>473</v>
      </c>
      <c r="O58" s="15" t="s">
        <v>474</v>
      </c>
      <c r="P58" s="15" t="s">
        <v>85</v>
      </c>
      <c r="Q58" s="15" t="s">
        <v>46</v>
      </c>
      <c r="R58" s="15" t="s">
        <v>422</v>
      </c>
      <c r="S58" s="15" t="s">
        <v>67</v>
      </c>
      <c r="T58" s="15">
        <v>75</v>
      </c>
      <c r="U58" s="15" t="s">
        <v>55</v>
      </c>
      <c r="V58" s="15" t="s">
        <v>55</v>
      </c>
      <c r="W58" s="15" t="s">
        <v>55</v>
      </c>
      <c r="X58" s="15" t="s">
        <v>168</v>
      </c>
      <c r="Y58" s="15"/>
      <c r="Z58" s="15"/>
      <c r="AA58" s="15" t="s">
        <v>53</v>
      </c>
      <c r="AB58" s="15" t="s">
        <v>53</v>
      </c>
      <c r="AC58" s="15" t="s">
        <v>54</v>
      </c>
      <c r="AD58" s="15" t="s">
        <v>54</v>
      </c>
      <c r="AE58" s="15" t="s">
        <v>54</v>
      </c>
      <c r="AF58" s="15" t="s">
        <v>53</v>
      </c>
      <c r="AG58" s="15" t="s">
        <v>424</v>
      </c>
      <c r="AH58" s="15">
        <v>351.1</v>
      </c>
      <c r="AI58" s="15">
        <v>351.1</v>
      </c>
      <c r="AJ58" s="15">
        <v>351.1</v>
      </c>
      <c r="AK58" s="15">
        <v>351.2</v>
      </c>
      <c r="AL58" s="15">
        <v>341.2</v>
      </c>
      <c r="AM58" s="15" t="s">
        <v>55</v>
      </c>
    </row>
    <row r="59" spans="1:39" x14ac:dyDescent="0.35">
      <c r="A59" s="15">
        <v>56693</v>
      </c>
      <c r="B59" s="15" t="s">
        <v>417</v>
      </c>
      <c r="C59" s="15" t="s">
        <v>475</v>
      </c>
      <c r="D59" s="15">
        <v>96</v>
      </c>
      <c r="E59" s="15" t="s">
        <v>476</v>
      </c>
      <c r="F59" s="15" t="s">
        <v>476</v>
      </c>
      <c r="G59" s="15" t="s">
        <v>58</v>
      </c>
      <c r="H59" s="15">
        <v>309.25</v>
      </c>
      <c r="I59" s="15" t="s">
        <v>477</v>
      </c>
      <c r="J59" s="15">
        <v>307.92</v>
      </c>
      <c r="K59" s="15" t="s">
        <v>40</v>
      </c>
      <c r="L59" s="15" t="s">
        <v>41</v>
      </c>
      <c r="M59" s="15" t="s">
        <v>92</v>
      </c>
      <c r="N59" s="15" t="s">
        <v>478</v>
      </c>
      <c r="O59" s="15" t="s">
        <v>479</v>
      </c>
      <c r="P59" s="15" t="s">
        <v>85</v>
      </c>
      <c r="Q59" s="15" t="s">
        <v>46</v>
      </c>
      <c r="R59" s="15" t="s">
        <v>422</v>
      </c>
      <c r="S59" s="15" t="s">
        <v>67</v>
      </c>
      <c r="T59" s="15">
        <v>162</v>
      </c>
      <c r="U59" s="15" t="s">
        <v>480</v>
      </c>
      <c r="V59" s="15" t="s">
        <v>55</v>
      </c>
      <c r="W59" s="15" t="s">
        <v>55</v>
      </c>
      <c r="X59" s="15" t="s">
        <v>168</v>
      </c>
      <c r="Y59" s="15">
        <v>140</v>
      </c>
      <c r="Z59" s="15">
        <v>162</v>
      </c>
      <c r="AA59" s="15" t="s">
        <v>53</v>
      </c>
      <c r="AB59" s="15" t="s">
        <v>53</v>
      </c>
      <c r="AC59" s="15" t="s">
        <v>54</v>
      </c>
      <c r="AD59" s="15" t="s">
        <v>54</v>
      </c>
      <c r="AE59" s="15" t="s">
        <v>54</v>
      </c>
      <c r="AF59" s="15" t="s">
        <v>54</v>
      </c>
      <c r="AG59" s="15" t="s">
        <v>424</v>
      </c>
      <c r="AH59" s="15">
        <v>280.7</v>
      </c>
      <c r="AI59" s="15">
        <v>280.7</v>
      </c>
      <c r="AJ59" s="15">
        <v>280.7</v>
      </c>
      <c r="AK59" s="15">
        <v>280.7</v>
      </c>
      <c r="AL59" s="15">
        <v>273</v>
      </c>
      <c r="AM59" s="15" t="s">
        <v>55</v>
      </c>
    </row>
    <row r="60" spans="1:39" x14ac:dyDescent="0.35">
      <c r="A60" s="15">
        <v>57310</v>
      </c>
      <c r="B60" s="15" t="s">
        <v>417</v>
      </c>
      <c r="C60" s="15" t="s">
        <v>481</v>
      </c>
      <c r="D60" s="15">
        <v>96</v>
      </c>
      <c r="E60" s="15" t="s">
        <v>482</v>
      </c>
      <c r="F60" s="15" t="s">
        <v>482</v>
      </c>
      <c r="G60" s="15" t="s">
        <v>58</v>
      </c>
      <c r="H60" s="15">
        <v>36.299999999999997</v>
      </c>
      <c r="I60" s="15" t="s">
        <v>483</v>
      </c>
      <c r="J60" s="15">
        <v>33</v>
      </c>
      <c r="K60" s="15" t="s">
        <v>95</v>
      </c>
      <c r="L60" s="15" t="s">
        <v>95</v>
      </c>
      <c r="M60" s="15" t="s">
        <v>62</v>
      </c>
      <c r="N60" s="15" t="s">
        <v>484</v>
      </c>
      <c r="O60" s="15" t="s">
        <v>485</v>
      </c>
      <c r="P60" s="15" t="s">
        <v>85</v>
      </c>
      <c r="Q60" s="15" t="s">
        <v>46</v>
      </c>
      <c r="R60" s="15" t="s">
        <v>422</v>
      </c>
      <c r="S60" s="15" t="s">
        <v>67</v>
      </c>
      <c r="T60" s="15">
        <v>471</v>
      </c>
      <c r="U60" s="15" t="s">
        <v>486</v>
      </c>
      <c r="V60" s="15" t="s">
        <v>55</v>
      </c>
      <c r="W60" s="15" t="s">
        <v>55</v>
      </c>
      <c r="X60" s="15" t="s">
        <v>168</v>
      </c>
      <c r="Y60" s="15">
        <v>237</v>
      </c>
      <c r="Z60" s="15">
        <v>455</v>
      </c>
      <c r="AA60" s="15" t="s">
        <v>53</v>
      </c>
      <c r="AB60" s="15" t="s">
        <v>53</v>
      </c>
      <c r="AC60" s="15" t="s">
        <v>54</v>
      </c>
      <c r="AD60" s="15" t="s">
        <v>54</v>
      </c>
      <c r="AE60" s="15" t="s">
        <v>54</v>
      </c>
      <c r="AF60" s="15" t="s">
        <v>54</v>
      </c>
      <c r="AG60" s="15" t="s">
        <v>424</v>
      </c>
      <c r="AH60" s="15">
        <v>-22</v>
      </c>
      <c r="AI60" s="15">
        <v>-22</v>
      </c>
      <c r="AJ60" s="15">
        <v>-22</v>
      </c>
      <c r="AK60" s="15">
        <v>-22</v>
      </c>
      <c r="AL60" s="15">
        <v>-78</v>
      </c>
      <c r="AM60" s="15" t="s">
        <v>55</v>
      </c>
    </row>
    <row r="61" spans="1:39" x14ac:dyDescent="0.35">
      <c r="A61" s="15">
        <v>57313</v>
      </c>
      <c r="B61" s="15" t="s">
        <v>417</v>
      </c>
      <c r="C61" s="15" t="s">
        <v>487</v>
      </c>
      <c r="D61" s="15">
        <v>96</v>
      </c>
      <c r="E61" s="15" t="s">
        <v>488</v>
      </c>
      <c r="F61" s="15" t="s">
        <v>488</v>
      </c>
      <c r="G61" s="15" t="s">
        <v>58</v>
      </c>
      <c r="H61" s="15">
        <v>132.06</v>
      </c>
      <c r="I61" s="15" t="s">
        <v>489</v>
      </c>
      <c r="J61" s="15">
        <v>131.46</v>
      </c>
      <c r="K61" s="15" t="s">
        <v>40</v>
      </c>
      <c r="L61" s="15" t="s">
        <v>41</v>
      </c>
      <c r="M61" s="15" t="s">
        <v>466</v>
      </c>
      <c r="N61" s="15" t="s">
        <v>490</v>
      </c>
      <c r="O61" s="15" t="s">
        <v>491</v>
      </c>
      <c r="P61" s="15" t="s">
        <v>85</v>
      </c>
      <c r="Q61" s="15" t="s">
        <v>46</v>
      </c>
      <c r="R61" s="15" t="s">
        <v>422</v>
      </c>
      <c r="S61" s="15" t="s">
        <v>67</v>
      </c>
      <c r="T61" s="15">
        <v>300</v>
      </c>
      <c r="U61" s="15" t="s">
        <v>492</v>
      </c>
      <c r="V61" s="15" t="s">
        <v>55</v>
      </c>
      <c r="W61" s="15" t="s">
        <v>55</v>
      </c>
      <c r="X61" s="15" t="s">
        <v>168</v>
      </c>
      <c r="Y61" s="15">
        <v>170</v>
      </c>
      <c r="Z61" s="15">
        <v>300</v>
      </c>
      <c r="AA61" s="15" t="s">
        <v>53</v>
      </c>
      <c r="AB61" s="15" t="s">
        <v>53</v>
      </c>
      <c r="AC61" s="15" t="s">
        <v>54</v>
      </c>
      <c r="AD61" s="15" t="s">
        <v>54</v>
      </c>
      <c r="AE61" s="15" t="s">
        <v>54</v>
      </c>
      <c r="AF61" s="15" t="s">
        <v>54</v>
      </c>
      <c r="AG61" s="15" t="s">
        <v>424</v>
      </c>
      <c r="AH61" s="15">
        <v>71.900000000000006</v>
      </c>
      <c r="AI61" s="15">
        <v>71.900000000000006</v>
      </c>
      <c r="AJ61" s="15">
        <v>71.900000000000006</v>
      </c>
      <c r="AK61" s="15">
        <v>71.900000000000006</v>
      </c>
      <c r="AL61" s="15">
        <v>6.5</v>
      </c>
      <c r="AM61" s="15" t="s">
        <v>55</v>
      </c>
    </row>
    <row r="62" spans="1:39" x14ac:dyDescent="0.35">
      <c r="A62" s="15">
        <v>31470</v>
      </c>
      <c r="B62" s="15" t="s">
        <v>417</v>
      </c>
      <c r="C62" s="15" t="s">
        <v>493</v>
      </c>
      <c r="D62" s="15">
        <v>96</v>
      </c>
      <c r="E62" s="15" t="s">
        <v>494</v>
      </c>
      <c r="F62" s="15" t="s">
        <v>494</v>
      </c>
      <c r="G62" s="15" t="s">
        <v>58</v>
      </c>
      <c r="H62" s="15">
        <v>61.36</v>
      </c>
      <c r="I62" s="15" t="s">
        <v>495</v>
      </c>
      <c r="J62" s="15">
        <v>61.36</v>
      </c>
      <c r="K62" s="15" t="s">
        <v>40</v>
      </c>
      <c r="L62" s="15" t="s">
        <v>41</v>
      </c>
      <c r="M62" s="15" t="s">
        <v>62</v>
      </c>
      <c r="N62" s="15" t="s">
        <v>496</v>
      </c>
      <c r="O62" s="15" t="s">
        <v>497</v>
      </c>
      <c r="P62" s="15" t="s">
        <v>95</v>
      </c>
      <c r="Q62" s="15" t="s">
        <v>95</v>
      </c>
      <c r="R62" s="15" t="s">
        <v>422</v>
      </c>
      <c r="S62" s="15" t="s">
        <v>67</v>
      </c>
      <c r="T62" s="15">
        <v>490</v>
      </c>
      <c r="U62" s="15" t="s">
        <v>498</v>
      </c>
      <c r="V62" s="15" t="s">
        <v>55</v>
      </c>
      <c r="W62" s="15" t="s">
        <v>55</v>
      </c>
      <c r="X62" s="15" t="s">
        <v>168</v>
      </c>
      <c r="Y62" s="15"/>
      <c r="Z62" s="15"/>
      <c r="AA62" s="15" t="s">
        <v>53</v>
      </c>
      <c r="AB62" s="15" t="s">
        <v>53</v>
      </c>
      <c r="AC62" s="15" t="s">
        <v>54</v>
      </c>
      <c r="AD62" s="15" t="s">
        <v>54</v>
      </c>
      <c r="AE62" s="15" t="s">
        <v>54</v>
      </c>
      <c r="AF62" s="15" t="s">
        <v>54</v>
      </c>
      <c r="AG62" s="15" t="s">
        <v>424</v>
      </c>
      <c r="AH62" s="15">
        <v>12.9</v>
      </c>
      <c r="AI62" s="15">
        <v>12.9</v>
      </c>
      <c r="AJ62" s="15">
        <v>12.9</v>
      </c>
      <c r="AK62" s="15">
        <v>12.9</v>
      </c>
      <c r="AL62" s="15">
        <v>-63.7</v>
      </c>
      <c r="AM62" s="15" t="s">
        <v>55</v>
      </c>
    </row>
    <row r="63" spans="1:39" x14ac:dyDescent="0.35">
      <c r="A63" s="15">
        <v>16342</v>
      </c>
      <c r="B63" s="15" t="s">
        <v>417</v>
      </c>
      <c r="C63" s="15" t="s">
        <v>502</v>
      </c>
      <c r="D63" s="15">
        <v>96</v>
      </c>
      <c r="E63" s="15" t="s">
        <v>503</v>
      </c>
      <c r="F63" s="15" t="s">
        <v>504</v>
      </c>
      <c r="G63" s="15" t="s">
        <v>58</v>
      </c>
      <c r="H63" s="15">
        <v>25.87</v>
      </c>
      <c r="I63" s="15" t="s">
        <v>164</v>
      </c>
      <c r="J63" s="15">
        <v>25.06</v>
      </c>
      <c r="K63" s="15" t="s">
        <v>40</v>
      </c>
      <c r="L63" s="15" t="s">
        <v>41</v>
      </c>
      <c r="M63" s="15" t="s">
        <v>42</v>
      </c>
      <c r="N63" s="15" t="s">
        <v>505</v>
      </c>
      <c r="O63" s="15" t="s">
        <v>506</v>
      </c>
      <c r="P63" s="15" t="s">
        <v>95</v>
      </c>
      <c r="Q63" s="15" t="s">
        <v>95</v>
      </c>
      <c r="R63" s="15" t="s">
        <v>422</v>
      </c>
      <c r="S63" s="15" t="s">
        <v>48</v>
      </c>
      <c r="T63" s="15">
        <v>490</v>
      </c>
      <c r="U63" s="15" t="s">
        <v>55</v>
      </c>
      <c r="V63" s="15" t="s">
        <v>501</v>
      </c>
      <c r="W63" s="15" t="s">
        <v>160</v>
      </c>
      <c r="X63" s="15" t="s">
        <v>168</v>
      </c>
      <c r="Y63" s="15">
        <v>400</v>
      </c>
      <c r="Z63" s="15">
        <v>480</v>
      </c>
      <c r="AA63" s="15" t="s">
        <v>53</v>
      </c>
      <c r="AB63" s="15" t="s">
        <v>53</v>
      </c>
      <c r="AC63" s="15" t="s">
        <v>54</v>
      </c>
      <c r="AD63" s="15" t="s">
        <v>54</v>
      </c>
      <c r="AE63" s="15" t="s">
        <v>54</v>
      </c>
      <c r="AF63" s="15" t="s">
        <v>54</v>
      </c>
      <c r="AG63" s="15" t="s">
        <v>424</v>
      </c>
      <c r="AH63" s="15">
        <v>-4.2</v>
      </c>
      <c r="AI63" s="15">
        <v>-4.2</v>
      </c>
      <c r="AJ63" s="15">
        <v>-4.2</v>
      </c>
      <c r="AK63" s="15">
        <v>-4.2</v>
      </c>
      <c r="AL63" s="15">
        <v>-46.1</v>
      </c>
      <c r="AM63" s="15" t="s">
        <v>55</v>
      </c>
    </row>
    <row r="64" spans="1:39" x14ac:dyDescent="0.35">
      <c r="A64" s="15">
        <v>12441</v>
      </c>
      <c r="B64" s="15" t="s">
        <v>417</v>
      </c>
      <c r="C64" s="15" t="s">
        <v>507</v>
      </c>
      <c r="D64" s="15">
        <v>96</v>
      </c>
      <c r="E64" s="15" t="s">
        <v>508</v>
      </c>
      <c r="F64" s="15" t="s">
        <v>508</v>
      </c>
      <c r="G64" s="15" t="s">
        <v>58</v>
      </c>
      <c r="H64" s="15">
        <v>94.45</v>
      </c>
      <c r="I64" s="15" t="s">
        <v>509</v>
      </c>
      <c r="J64" s="15">
        <v>94.33</v>
      </c>
      <c r="K64" s="15" t="s">
        <v>40</v>
      </c>
      <c r="L64" s="15" t="s">
        <v>41</v>
      </c>
      <c r="M64" s="15" t="s">
        <v>62</v>
      </c>
      <c r="N64" s="15" t="s">
        <v>510</v>
      </c>
      <c r="O64" s="15" t="s">
        <v>511</v>
      </c>
      <c r="P64" s="15" t="s">
        <v>95</v>
      </c>
      <c r="Q64" s="15" t="s">
        <v>95</v>
      </c>
      <c r="R64" s="15" t="s">
        <v>422</v>
      </c>
      <c r="S64" s="15" t="s">
        <v>67</v>
      </c>
      <c r="T64" s="15">
        <v>518</v>
      </c>
      <c r="U64" s="15" t="s">
        <v>512</v>
      </c>
      <c r="V64" s="15" t="s">
        <v>55</v>
      </c>
      <c r="W64" s="15" t="s">
        <v>55</v>
      </c>
      <c r="X64" s="15" t="s">
        <v>168</v>
      </c>
      <c r="Y64" s="15">
        <v>70</v>
      </c>
      <c r="Z64" s="15">
        <v>518</v>
      </c>
      <c r="AA64" s="15" t="s">
        <v>53</v>
      </c>
      <c r="AB64" s="15" t="s">
        <v>53</v>
      </c>
      <c r="AC64" s="15" t="s">
        <v>54</v>
      </c>
      <c r="AD64" s="15" t="s">
        <v>54</v>
      </c>
      <c r="AE64" s="15" t="s">
        <v>54</v>
      </c>
      <c r="AF64" s="15" t="s">
        <v>54</v>
      </c>
      <c r="AG64" s="15" t="s">
        <v>424</v>
      </c>
      <c r="AH64" s="15">
        <v>17.5</v>
      </c>
      <c r="AI64" s="15">
        <v>17.5</v>
      </c>
      <c r="AJ64" s="15">
        <v>17.5</v>
      </c>
      <c r="AK64" s="15">
        <v>17.5</v>
      </c>
      <c r="AL64" s="15">
        <v>-69.599999999999994</v>
      </c>
      <c r="AM64" s="15" t="s">
        <v>55</v>
      </c>
    </row>
    <row r="65" spans="1:39" x14ac:dyDescent="0.35">
      <c r="A65" s="15">
        <v>12032</v>
      </c>
      <c r="B65" s="15" t="s">
        <v>417</v>
      </c>
      <c r="C65" s="15" t="s">
        <v>513</v>
      </c>
      <c r="D65" s="15">
        <v>96</v>
      </c>
      <c r="E65" s="15" t="s">
        <v>514</v>
      </c>
      <c r="F65" s="15" t="s">
        <v>515</v>
      </c>
      <c r="G65" s="15" t="s">
        <v>58</v>
      </c>
      <c r="H65" s="15">
        <v>28.21</v>
      </c>
      <c r="I65" s="15" t="s">
        <v>164</v>
      </c>
      <c r="J65" s="15">
        <v>27.45</v>
      </c>
      <c r="K65" s="15" t="s">
        <v>40</v>
      </c>
      <c r="L65" s="15" t="s">
        <v>41</v>
      </c>
      <c r="M65" s="15" t="s">
        <v>42</v>
      </c>
      <c r="N65" s="15" t="s">
        <v>516</v>
      </c>
      <c r="O65" s="15" t="s">
        <v>517</v>
      </c>
      <c r="P65" s="15" t="s">
        <v>95</v>
      </c>
      <c r="Q65" s="15" t="s">
        <v>95</v>
      </c>
      <c r="R65" s="15" t="s">
        <v>422</v>
      </c>
      <c r="S65" s="15" t="s">
        <v>48</v>
      </c>
      <c r="T65" s="15">
        <v>690</v>
      </c>
      <c r="U65" s="15" t="s">
        <v>55</v>
      </c>
      <c r="V65" s="15" t="s">
        <v>501</v>
      </c>
      <c r="W65" s="15" t="s">
        <v>160</v>
      </c>
      <c r="X65" s="15" t="s">
        <v>168</v>
      </c>
      <c r="Y65" s="15">
        <v>603</v>
      </c>
      <c r="Z65" s="15">
        <v>683</v>
      </c>
      <c r="AA65" s="15" t="s">
        <v>53</v>
      </c>
      <c r="AB65" s="15" t="s">
        <v>53</v>
      </c>
      <c r="AC65" s="15" t="s">
        <v>54</v>
      </c>
      <c r="AD65" s="15" t="s">
        <v>54</v>
      </c>
      <c r="AE65" s="15" t="s">
        <v>54</v>
      </c>
      <c r="AF65" s="15" t="s">
        <v>54</v>
      </c>
      <c r="AG65" s="15" t="s">
        <v>424</v>
      </c>
      <c r="AH65" s="15">
        <v>-13.3</v>
      </c>
      <c r="AI65" s="15">
        <v>-13.3</v>
      </c>
      <c r="AJ65" s="15">
        <v>-13.3</v>
      </c>
      <c r="AK65" s="15">
        <v>-13.3</v>
      </c>
      <c r="AL65" s="15">
        <v>-88.3</v>
      </c>
      <c r="AM65" s="15" t="s">
        <v>55</v>
      </c>
    </row>
    <row r="66" spans="1:39" x14ac:dyDescent="0.35">
      <c r="A66" s="15">
        <v>11774</v>
      </c>
      <c r="B66" s="15" t="s">
        <v>417</v>
      </c>
      <c r="C66" s="15" t="s">
        <v>518</v>
      </c>
      <c r="D66" s="15">
        <v>96</v>
      </c>
      <c r="E66" s="15" t="s">
        <v>519</v>
      </c>
      <c r="F66" s="15" t="s">
        <v>519</v>
      </c>
      <c r="G66" s="15" t="s">
        <v>58</v>
      </c>
      <c r="H66" s="15">
        <v>60.68</v>
      </c>
      <c r="I66" s="15" t="s">
        <v>520</v>
      </c>
      <c r="J66" s="15">
        <v>61.16</v>
      </c>
      <c r="K66" s="15" t="s">
        <v>40</v>
      </c>
      <c r="L66" s="15" t="s">
        <v>41</v>
      </c>
      <c r="M66" s="15" t="s">
        <v>62</v>
      </c>
      <c r="N66" s="15" t="s">
        <v>521</v>
      </c>
      <c r="O66" s="15" t="s">
        <v>522</v>
      </c>
      <c r="P66" s="15" t="s">
        <v>95</v>
      </c>
      <c r="Q66" s="15" t="s">
        <v>95</v>
      </c>
      <c r="R66" s="15" t="s">
        <v>422</v>
      </c>
      <c r="S66" s="15" t="s">
        <v>67</v>
      </c>
      <c r="T66" s="15">
        <v>300</v>
      </c>
      <c r="U66" s="15" t="s">
        <v>55</v>
      </c>
      <c r="V66" s="15" t="s">
        <v>55</v>
      </c>
      <c r="W66" s="15" t="s">
        <v>55</v>
      </c>
      <c r="X66" s="15" t="s">
        <v>168</v>
      </c>
      <c r="Y66" s="15"/>
      <c r="Z66" s="15"/>
      <c r="AA66" s="15" t="s">
        <v>53</v>
      </c>
      <c r="AB66" s="15" t="s">
        <v>53</v>
      </c>
      <c r="AC66" s="15" t="s">
        <v>54</v>
      </c>
      <c r="AD66" s="15" t="s">
        <v>54</v>
      </c>
      <c r="AE66" s="15" t="s">
        <v>54</v>
      </c>
      <c r="AF66" s="15" t="s">
        <v>54</v>
      </c>
      <c r="AG66" s="15" t="s">
        <v>424</v>
      </c>
      <c r="AH66" s="15">
        <v>26</v>
      </c>
      <c r="AI66" s="15">
        <v>26</v>
      </c>
      <c r="AJ66" s="15">
        <v>26</v>
      </c>
      <c r="AK66" s="15">
        <v>26</v>
      </c>
      <c r="AL66" s="15">
        <v>-85.7</v>
      </c>
      <c r="AM66" s="15" t="s">
        <v>55</v>
      </c>
    </row>
    <row r="67" spans="1:39" x14ac:dyDescent="0.35">
      <c r="A67" s="15">
        <v>12444</v>
      </c>
      <c r="B67" s="15" t="s">
        <v>417</v>
      </c>
      <c r="C67" s="15" t="s">
        <v>523</v>
      </c>
      <c r="D67" s="15">
        <v>96</v>
      </c>
      <c r="E67" s="15" t="s">
        <v>524</v>
      </c>
      <c r="F67" s="15" t="s">
        <v>524</v>
      </c>
      <c r="G67" s="15" t="s">
        <v>58</v>
      </c>
      <c r="H67" s="15">
        <v>194.44</v>
      </c>
      <c r="I67" s="15" t="s">
        <v>525</v>
      </c>
      <c r="J67" s="15">
        <v>194.38</v>
      </c>
      <c r="K67" s="15" t="s">
        <v>40</v>
      </c>
      <c r="L67" s="15" t="s">
        <v>41</v>
      </c>
      <c r="M67" s="15" t="s">
        <v>226</v>
      </c>
      <c r="N67" s="15" t="s">
        <v>526</v>
      </c>
      <c r="O67" s="15" t="s">
        <v>527</v>
      </c>
      <c r="P67" s="15" t="s">
        <v>95</v>
      </c>
      <c r="Q67" s="15" t="s">
        <v>95</v>
      </c>
      <c r="R67" s="15" t="s">
        <v>422</v>
      </c>
      <c r="S67" s="15" t="s">
        <v>67</v>
      </c>
      <c r="T67" s="15">
        <v>110</v>
      </c>
      <c r="U67" s="15" t="s">
        <v>528</v>
      </c>
      <c r="V67" s="15" t="s">
        <v>55</v>
      </c>
      <c r="W67" s="15" t="s">
        <v>55</v>
      </c>
      <c r="X67" s="15" t="s">
        <v>168</v>
      </c>
      <c r="Y67" s="15"/>
      <c r="Z67" s="15"/>
      <c r="AA67" s="15" t="s">
        <v>53</v>
      </c>
      <c r="AB67" s="15" t="s">
        <v>53</v>
      </c>
      <c r="AC67" s="15" t="s">
        <v>54</v>
      </c>
      <c r="AD67" s="15" t="s">
        <v>54</v>
      </c>
      <c r="AE67" s="15" t="s">
        <v>54</v>
      </c>
      <c r="AF67" s="15" t="s">
        <v>54</v>
      </c>
      <c r="AG67" s="15" t="s">
        <v>424</v>
      </c>
      <c r="AH67" s="15">
        <v>143.1</v>
      </c>
      <c r="AI67" s="15">
        <v>143.1</v>
      </c>
      <c r="AJ67" s="15">
        <v>143.1</v>
      </c>
      <c r="AK67" s="15">
        <v>143.1</v>
      </c>
      <c r="AL67" s="15">
        <v>132.80000000000001</v>
      </c>
      <c r="AM67" s="15" t="s">
        <v>55</v>
      </c>
    </row>
    <row r="68" spans="1:39" x14ac:dyDescent="0.35">
      <c r="A68" s="15">
        <v>31465</v>
      </c>
      <c r="B68" s="15" t="s">
        <v>417</v>
      </c>
      <c r="C68" s="15" t="s">
        <v>529</v>
      </c>
      <c r="D68" s="15">
        <v>96</v>
      </c>
      <c r="E68" s="15" t="s">
        <v>530</v>
      </c>
      <c r="F68" s="15" t="s">
        <v>530</v>
      </c>
      <c r="G68" s="15" t="s">
        <v>58</v>
      </c>
      <c r="H68" s="15">
        <v>38.28</v>
      </c>
      <c r="I68" s="15" t="s">
        <v>531</v>
      </c>
      <c r="J68" s="15">
        <v>37.99</v>
      </c>
      <c r="K68" s="15" t="s">
        <v>40</v>
      </c>
      <c r="L68" s="15" t="s">
        <v>41</v>
      </c>
      <c r="M68" s="15" t="s">
        <v>62</v>
      </c>
      <c r="N68" s="15" t="s">
        <v>532</v>
      </c>
      <c r="O68" s="15" t="s">
        <v>533</v>
      </c>
      <c r="P68" s="15" t="s">
        <v>95</v>
      </c>
      <c r="Q68" s="15" t="s">
        <v>95</v>
      </c>
      <c r="R68" s="15" t="s">
        <v>422</v>
      </c>
      <c r="S68" s="15" t="s">
        <v>67</v>
      </c>
      <c r="T68" s="15">
        <v>84</v>
      </c>
      <c r="U68" s="15" t="s">
        <v>55</v>
      </c>
      <c r="V68" s="15" t="s">
        <v>55</v>
      </c>
      <c r="W68" s="15" t="s">
        <v>55</v>
      </c>
      <c r="X68" s="15" t="s">
        <v>168</v>
      </c>
      <c r="Y68" s="15"/>
      <c r="Z68" s="15"/>
      <c r="AA68" s="15" t="s">
        <v>53</v>
      </c>
      <c r="AB68" s="15" t="s">
        <v>53</v>
      </c>
      <c r="AC68" s="15" t="s">
        <v>54</v>
      </c>
      <c r="AD68" s="15" t="s">
        <v>54</v>
      </c>
      <c r="AE68" s="15" t="s">
        <v>54</v>
      </c>
      <c r="AF68" s="15" t="s">
        <v>53</v>
      </c>
      <c r="AG68" s="15" t="s">
        <v>424</v>
      </c>
      <c r="AH68" s="15">
        <v>12.2</v>
      </c>
      <c r="AI68" s="15">
        <v>12.2</v>
      </c>
      <c r="AJ68" s="15">
        <v>12.2</v>
      </c>
      <c r="AK68" s="15">
        <v>12.2</v>
      </c>
      <c r="AL68" s="15">
        <v>-39.200000000000003</v>
      </c>
      <c r="AM68" s="15" t="s">
        <v>55</v>
      </c>
    </row>
    <row r="69" spans="1:39" x14ac:dyDescent="0.35">
      <c r="A69" s="15">
        <v>33885</v>
      </c>
      <c r="B69" s="15" t="s">
        <v>417</v>
      </c>
      <c r="C69" s="15" t="s">
        <v>534</v>
      </c>
      <c r="D69" s="15">
        <v>96</v>
      </c>
      <c r="E69" s="15" t="s">
        <v>535</v>
      </c>
      <c r="F69" s="15" t="s">
        <v>536</v>
      </c>
      <c r="G69" s="15" t="s">
        <v>58</v>
      </c>
      <c r="H69" s="15">
        <v>32.299999999999997</v>
      </c>
      <c r="I69" s="15" t="s">
        <v>164</v>
      </c>
      <c r="J69" s="15">
        <v>30.62</v>
      </c>
      <c r="K69" s="15" t="s">
        <v>40</v>
      </c>
      <c r="L69" s="15" t="s">
        <v>41</v>
      </c>
      <c r="M69" s="15" t="s">
        <v>42</v>
      </c>
      <c r="N69" s="15" t="s">
        <v>499</v>
      </c>
      <c r="O69" s="15" t="s">
        <v>500</v>
      </c>
      <c r="P69" s="15" t="s">
        <v>85</v>
      </c>
      <c r="Q69" s="15" t="s">
        <v>46</v>
      </c>
      <c r="R69" s="15" t="s">
        <v>422</v>
      </c>
      <c r="S69" s="15" t="s">
        <v>48</v>
      </c>
      <c r="T69" s="15">
        <v>580</v>
      </c>
      <c r="U69" s="15" t="s">
        <v>55</v>
      </c>
      <c r="V69" s="15" t="s">
        <v>55</v>
      </c>
      <c r="W69" s="15" t="s">
        <v>160</v>
      </c>
      <c r="X69" s="15" t="s">
        <v>168</v>
      </c>
      <c r="Y69" s="15">
        <v>560</v>
      </c>
      <c r="Z69" s="15">
        <v>570</v>
      </c>
      <c r="AA69" s="15" t="s">
        <v>53</v>
      </c>
      <c r="AB69" s="15" t="s">
        <v>53</v>
      </c>
      <c r="AC69" s="15" t="s">
        <v>54</v>
      </c>
      <c r="AD69" s="15" t="s">
        <v>54</v>
      </c>
      <c r="AE69" s="15" t="s">
        <v>54</v>
      </c>
      <c r="AF69" s="15" t="s">
        <v>54</v>
      </c>
      <c r="AG69" s="15" t="s">
        <v>424</v>
      </c>
      <c r="AH69" s="15">
        <v>9.1</v>
      </c>
      <c r="AI69" s="15">
        <v>9.1</v>
      </c>
      <c r="AJ69" s="15">
        <v>9.1</v>
      </c>
      <c r="AK69" s="15">
        <v>9.1</v>
      </c>
      <c r="AL69" s="15">
        <v>-44.3</v>
      </c>
      <c r="AM69" s="15" t="s">
        <v>55</v>
      </c>
    </row>
    <row r="70" spans="1:39" x14ac:dyDescent="0.35">
      <c r="A70" s="15">
        <v>30781</v>
      </c>
      <c r="B70" s="15" t="s">
        <v>417</v>
      </c>
      <c r="C70" s="15" t="s">
        <v>537</v>
      </c>
      <c r="D70" s="15">
        <v>96</v>
      </c>
      <c r="E70" s="15" t="s">
        <v>538</v>
      </c>
      <c r="F70" s="15" t="s">
        <v>538</v>
      </c>
      <c r="G70" s="15" t="s">
        <v>58</v>
      </c>
      <c r="H70" s="15">
        <v>77.260000000000005</v>
      </c>
      <c r="I70" s="15" t="s">
        <v>82</v>
      </c>
      <c r="J70" s="15">
        <v>76.760000000000005</v>
      </c>
      <c r="K70" s="15" t="s">
        <v>95</v>
      </c>
      <c r="L70" s="15" t="s">
        <v>95</v>
      </c>
      <c r="M70" s="15" t="s">
        <v>62</v>
      </c>
      <c r="N70" s="15" t="s">
        <v>539</v>
      </c>
      <c r="O70" s="15" t="s">
        <v>540</v>
      </c>
      <c r="P70" s="15" t="s">
        <v>95</v>
      </c>
      <c r="Q70" s="15" t="s">
        <v>95</v>
      </c>
      <c r="R70" s="15" t="s">
        <v>422</v>
      </c>
      <c r="S70" s="15" t="s">
        <v>67</v>
      </c>
      <c r="T70" s="15">
        <v>235</v>
      </c>
      <c r="U70" s="15" t="s">
        <v>541</v>
      </c>
      <c r="V70" s="15" t="s">
        <v>55</v>
      </c>
      <c r="W70" s="15" t="s">
        <v>55</v>
      </c>
      <c r="X70" s="15" t="s">
        <v>168</v>
      </c>
      <c r="Y70" s="15"/>
      <c r="Z70" s="15"/>
      <c r="AA70" s="15" t="s">
        <v>53</v>
      </c>
      <c r="AB70" s="15" t="s">
        <v>53</v>
      </c>
      <c r="AC70" s="15" t="s">
        <v>54</v>
      </c>
      <c r="AD70" s="15" t="s">
        <v>54</v>
      </c>
      <c r="AE70" s="15" t="s">
        <v>54</v>
      </c>
      <c r="AF70" s="15" t="s">
        <v>54</v>
      </c>
      <c r="AG70" s="15" t="s">
        <v>424</v>
      </c>
      <c r="AH70" s="15">
        <v>32.1</v>
      </c>
      <c r="AI70" s="15">
        <v>32.1</v>
      </c>
      <c r="AJ70" s="15">
        <v>32.1</v>
      </c>
      <c r="AK70" s="15">
        <v>32.1</v>
      </c>
      <c r="AL70" s="15">
        <v>-32.6</v>
      </c>
      <c r="AM70" s="15" t="s">
        <v>55</v>
      </c>
    </row>
    <row r="71" spans="1:39" x14ac:dyDescent="0.35">
      <c r="A71" s="15">
        <v>17016</v>
      </c>
      <c r="B71" s="15" t="s">
        <v>417</v>
      </c>
      <c r="C71" s="15" t="s">
        <v>542</v>
      </c>
      <c r="D71" s="15">
        <v>96</v>
      </c>
      <c r="E71" s="15" t="s">
        <v>543</v>
      </c>
      <c r="F71" s="15" t="s">
        <v>543</v>
      </c>
      <c r="G71" s="15" t="s">
        <v>58</v>
      </c>
      <c r="H71" s="15">
        <v>407.33</v>
      </c>
      <c r="I71" s="15" t="s">
        <v>544</v>
      </c>
      <c r="J71" s="15">
        <v>406.86</v>
      </c>
      <c r="K71" s="15" t="s">
        <v>40</v>
      </c>
      <c r="L71" s="15" t="s">
        <v>41</v>
      </c>
      <c r="M71" s="15" t="s">
        <v>62</v>
      </c>
      <c r="N71" s="15" t="s">
        <v>545</v>
      </c>
      <c r="O71" s="15" t="s">
        <v>546</v>
      </c>
      <c r="P71" s="15" t="s">
        <v>95</v>
      </c>
      <c r="Q71" s="15" t="s">
        <v>95</v>
      </c>
      <c r="R71" s="15" t="s">
        <v>422</v>
      </c>
      <c r="S71" s="15" t="s">
        <v>67</v>
      </c>
      <c r="T71" s="15">
        <v>26</v>
      </c>
      <c r="U71" s="15" t="s">
        <v>55</v>
      </c>
      <c r="V71" s="15" t="s">
        <v>55</v>
      </c>
      <c r="W71" s="15" t="s">
        <v>55</v>
      </c>
      <c r="X71" s="15" t="s">
        <v>168</v>
      </c>
      <c r="Y71" s="15"/>
      <c r="Z71" s="15"/>
      <c r="AA71" s="15" t="s">
        <v>53</v>
      </c>
      <c r="AB71" s="15" t="s">
        <v>53</v>
      </c>
      <c r="AC71" s="15" t="s">
        <v>54</v>
      </c>
      <c r="AD71" s="15" t="s">
        <v>54</v>
      </c>
      <c r="AE71" s="15" t="s">
        <v>54</v>
      </c>
      <c r="AF71" s="15" t="s">
        <v>53</v>
      </c>
      <c r="AG71" s="15" t="s">
        <v>424</v>
      </c>
      <c r="AH71" s="15">
        <v>382.8</v>
      </c>
      <c r="AI71" s="15">
        <v>382.8</v>
      </c>
      <c r="AJ71" s="15">
        <v>382.8</v>
      </c>
      <c r="AK71" s="15">
        <v>382.8</v>
      </c>
      <c r="AL71" s="15">
        <v>376.4</v>
      </c>
      <c r="AM71" s="15" t="s">
        <v>55</v>
      </c>
    </row>
    <row r="72" spans="1:39" x14ac:dyDescent="0.35">
      <c r="A72" s="15">
        <v>10482</v>
      </c>
      <c r="B72" s="15" t="s">
        <v>417</v>
      </c>
      <c r="C72" s="15" t="s">
        <v>547</v>
      </c>
      <c r="D72" s="15">
        <v>96</v>
      </c>
      <c r="E72" s="15" t="s">
        <v>548</v>
      </c>
      <c r="F72" s="15" t="s">
        <v>548</v>
      </c>
      <c r="G72" s="15" t="s">
        <v>58</v>
      </c>
      <c r="H72" s="15">
        <v>404.12</v>
      </c>
      <c r="I72" s="15" t="s">
        <v>427</v>
      </c>
      <c r="J72" s="15">
        <v>402.75</v>
      </c>
      <c r="K72" s="15" t="s">
        <v>40</v>
      </c>
      <c r="L72" s="15" t="s">
        <v>41</v>
      </c>
      <c r="M72" s="15" t="s">
        <v>62</v>
      </c>
      <c r="N72" s="15" t="s">
        <v>549</v>
      </c>
      <c r="O72" s="15" t="s">
        <v>550</v>
      </c>
      <c r="P72" s="15" t="s">
        <v>95</v>
      </c>
      <c r="Q72" s="15" t="s">
        <v>95</v>
      </c>
      <c r="R72" s="15" t="s">
        <v>422</v>
      </c>
      <c r="S72" s="15" t="s">
        <v>67</v>
      </c>
      <c r="T72" s="15">
        <v>55</v>
      </c>
      <c r="U72" s="15" t="s">
        <v>551</v>
      </c>
      <c r="V72" s="15" t="s">
        <v>55</v>
      </c>
      <c r="W72" s="15" t="s">
        <v>55</v>
      </c>
      <c r="X72" s="15" t="s">
        <v>168</v>
      </c>
      <c r="Y72" s="15">
        <v>40</v>
      </c>
      <c r="Z72" s="15">
        <v>52</v>
      </c>
      <c r="AA72" s="15" t="s">
        <v>53</v>
      </c>
      <c r="AB72" s="15" t="s">
        <v>53</v>
      </c>
      <c r="AC72" s="15" t="s">
        <v>54</v>
      </c>
      <c r="AD72" s="15" t="s">
        <v>54</v>
      </c>
      <c r="AE72" s="15" t="s">
        <v>54</v>
      </c>
      <c r="AF72" s="15" t="s">
        <v>54</v>
      </c>
      <c r="AG72" s="15" t="s">
        <v>424</v>
      </c>
      <c r="AH72" s="15">
        <v>383.7</v>
      </c>
      <c r="AI72" s="15">
        <v>383.7</v>
      </c>
      <c r="AJ72" s="15">
        <v>383.7</v>
      </c>
      <c r="AK72" s="15">
        <v>383.7</v>
      </c>
      <c r="AL72" s="15">
        <v>355.8</v>
      </c>
      <c r="AM72" s="15" t="s">
        <v>55</v>
      </c>
    </row>
    <row r="73" spans="1:39" x14ac:dyDescent="0.35">
      <c r="A73" s="15">
        <v>10492</v>
      </c>
      <c r="B73" s="15" t="s">
        <v>417</v>
      </c>
      <c r="C73" s="15" t="s">
        <v>552</v>
      </c>
      <c r="D73" s="15">
        <v>96</v>
      </c>
      <c r="E73" s="15" t="s">
        <v>553</v>
      </c>
      <c r="F73" s="15" t="s">
        <v>553</v>
      </c>
      <c r="G73" s="15" t="s">
        <v>58</v>
      </c>
      <c r="H73" s="15">
        <v>311.19</v>
      </c>
      <c r="I73" s="15" t="s">
        <v>531</v>
      </c>
      <c r="J73" s="15">
        <v>311</v>
      </c>
      <c r="K73" s="15" t="s">
        <v>40</v>
      </c>
      <c r="L73" s="15" t="s">
        <v>41</v>
      </c>
      <c r="M73" s="15" t="s">
        <v>62</v>
      </c>
      <c r="N73" s="15" t="s">
        <v>554</v>
      </c>
      <c r="O73" s="15" t="s">
        <v>555</v>
      </c>
      <c r="P73" s="15" t="s">
        <v>95</v>
      </c>
      <c r="Q73" s="15" t="s">
        <v>95</v>
      </c>
      <c r="R73" s="15" t="s">
        <v>422</v>
      </c>
      <c r="S73" s="15" t="s">
        <v>67</v>
      </c>
      <c r="T73" s="15">
        <v>66</v>
      </c>
      <c r="U73" s="15" t="s">
        <v>55</v>
      </c>
      <c r="V73" s="15" t="s">
        <v>55</v>
      </c>
      <c r="W73" s="15" t="s">
        <v>55</v>
      </c>
      <c r="X73" s="15" t="s">
        <v>168</v>
      </c>
      <c r="Y73" s="15"/>
      <c r="Z73" s="15"/>
      <c r="AA73" s="15" t="s">
        <v>53</v>
      </c>
      <c r="AB73" s="15" t="s">
        <v>53</v>
      </c>
      <c r="AC73" s="15" t="s">
        <v>54</v>
      </c>
      <c r="AD73" s="15" t="s">
        <v>54</v>
      </c>
      <c r="AE73" s="15" t="s">
        <v>54</v>
      </c>
      <c r="AF73" s="15" t="s">
        <v>53</v>
      </c>
      <c r="AG73" s="15" t="s">
        <v>424</v>
      </c>
      <c r="AH73" s="15">
        <v>296</v>
      </c>
      <c r="AI73" s="15">
        <v>296</v>
      </c>
      <c r="AJ73" s="15">
        <v>296</v>
      </c>
      <c r="AK73" s="15">
        <v>296</v>
      </c>
      <c r="AL73" s="15">
        <v>287.60000000000002</v>
      </c>
      <c r="AM73" s="15" t="s">
        <v>55</v>
      </c>
    </row>
    <row r="74" spans="1:39" x14ac:dyDescent="0.35">
      <c r="A74" s="15">
        <v>30990</v>
      </c>
      <c r="B74" s="15" t="s">
        <v>417</v>
      </c>
      <c r="C74" s="15" t="s">
        <v>556</v>
      </c>
      <c r="D74" s="15">
        <v>96</v>
      </c>
      <c r="E74" s="15" t="s">
        <v>557</v>
      </c>
      <c r="F74" s="15" t="s">
        <v>557</v>
      </c>
      <c r="G74" s="15" t="s">
        <v>58</v>
      </c>
      <c r="H74" s="15">
        <v>320.13</v>
      </c>
      <c r="I74" s="15" t="s">
        <v>558</v>
      </c>
      <c r="J74" s="15">
        <v>319.98</v>
      </c>
      <c r="K74" s="15" t="s">
        <v>95</v>
      </c>
      <c r="L74" s="15" t="s">
        <v>95</v>
      </c>
      <c r="M74" s="15" t="s">
        <v>62</v>
      </c>
      <c r="N74" s="15" t="s">
        <v>559</v>
      </c>
      <c r="O74" s="15" t="s">
        <v>560</v>
      </c>
      <c r="P74" s="15" t="s">
        <v>95</v>
      </c>
      <c r="Q74" s="15" t="s">
        <v>95</v>
      </c>
      <c r="R74" s="15" t="s">
        <v>422</v>
      </c>
      <c r="S74" s="15" t="s">
        <v>67</v>
      </c>
      <c r="T74" s="15">
        <v>136</v>
      </c>
      <c r="U74" s="15" t="s">
        <v>55</v>
      </c>
      <c r="V74" s="15" t="s">
        <v>55</v>
      </c>
      <c r="W74" s="15" t="s">
        <v>55</v>
      </c>
      <c r="X74" s="15" t="s">
        <v>168</v>
      </c>
      <c r="Y74" s="15"/>
      <c r="Z74" s="15"/>
      <c r="AA74" s="15" t="s">
        <v>53</v>
      </c>
      <c r="AB74" s="15" t="s">
        <v>53</v>
      </c>
      <c r="AC74" s="15" t="s">
        <v>54</v>
      </c>
      <c r="AD74" s="15" t="s">
        <v>54</v>
      </c>
      <c r="AE74" s="15" t="s">
        <v>54</v>
      </c>
      <c r="AF74" s="15" t="s">
        <v>54</v>
      </c>
      <c r="AG74" s="15" t="s">
        <v>424</v>
      </c>
      <c r="AH74" s="15">
        <v>287.3</v>
      </c>
      <c r="AI74" s="15">
        <v>287.3</v>
      </c>
      <c r="AJ74" s="15">
        <v>287.3</v>
      </c>
      <c r="AK74" s="15">
        <v>287.3</v>
      </c>
      <c r="AL74" s="15">
        <v>271</v>
      </c>
      <c r="AM74" s="15" t="s">
        <v>55</v>
      </c>
    </row>
    <row r="75" spans="1:39" x14ac:dyDescent="0.35">
      <c r="A75" s="15">
        <v>10338</v>
      </c>
      <c r="B75" s="15" t="s">
        <v>417</v>
      </c>
      <c r="C75" s="15" t="s">
        <v>561</v>
      </c>
      <c r="D75" s="15">
        <v>96</v>
      </c>
      <c r="E75" s="15" t="s">
        <v>562</v>
      </c>
      <c r="F75" s="15" t="s">
        <v>562</v>
      </c>
      <c r="G75" s="15" t="s">
        <v>58</v>
      </c>
      <c r="H75" s="15">
        <v>194.63</v>
      </c>
      <c r="I75" s="15" t="s">
        <v>563</v>
      </c>
      <c r="J75" s="15">
        <v>194.33</v>
      </c>
      <c r="K75" s="15" t="s">
        <v>40</v>
      </c>
      <c r="L75" s="15" t="s">
        <v>41</v>
      </c>
      <c r="M75" s="15" t="s">
        <v>92</v>
      </c>
      <c r="N75" s="15" t="s">
        <v>564</v>
      </c>
      <c r="O75" s="15" t="s">
        <v>565</v>
      </c>
      <c r="P75" s="15" t="s">
        <v>95</v>
      </c>
      <c r="Q75" s="15" t="s">
        <v>95</v>
      </c>
      <c r="R75" s="15" t="s">
        <v>422</v>
      </c>
      <c r="S75" s="15" t="s">
        <v>67</v>
      </c>
      <c r="T75" s="15">
        <v>350</v>
      </c>
      <c r="U75" s="15" t="s">
        <v>566</v>
      </c>
      <c r="V75" s="15" t="s">
        <v>55</v>
      </c>
      <c r="W75" s="15" t="s">
        <v>55</v>
      </c>
      <c r="X75" s="15" t="s">
        <v>168</v>
      </c>
      <c r="Y75" s="15">
        <v>250</v>
      </c>
      <c r="Z75" s="15">
        <v>270</v>
      </c>
      <c r="AA75" s="15" t="s">
        <v>53</v>
      </c>
      <c r="AB75" s="15" t="s">
        <v>53</v>
      </c>
      <c r="AC75" s="15" t="s">
        <v>54</v>
      </c>
      <c r="AD75" s="15" t="s">
        <v>54</v>
      </c>
      <c r="AE75" s="15" t="s">
        <v>54</v>
      </c>
      <c r="AF75" s="15" t="s">
        <v>54</v>
      </c>
      <c r="AG75" s="15" t="s">
        <v>424</v>
      </c>
      <c r="AH75" s="15">
        <v>128.30000000000001</v>
      </c>
      <c r="AI75" s="15">
        <v>128.30000000000001</v>
      </c>
      <c r="AJ75" s="15">
        <v>128.30000000000001</v>
      </c>
      <c r="AK75" s="15">
        <v>128.30000000000001</v>
      </c>
      <c r="AL75" s="15">
        <v>73.599999999999994</v>
      </c>
      <c r="AM75" s="15" t="s">
        <v>55</v>
      </c>
    </row>
    <row r="76" spans="1:39" x14ac:dyDescent="0.35">
      <c r="A76" s="15">
        <v>11660</v>
      </c>
      <c r="B76" s="15" t="s">
        <v>417</v>
      </c>
      <c r="C76" s="15" t="s">
        <v>567</v>
      </c>
      <c r="D76" s="15">
        <v>96</v>
      </c>
      <c r="E76" s="15" t="s">
        <v>568</v>
      </c>
      <c r="F76" s="15" t="s">
        <v>568</v>
      </c>
      <c r="G76" s="15" t="s">
        <v>58</v>
      </c>
      <c r="H76" s="15">
        <v>338.14</v>
      </c>
      <c r="I76" s="15" t="s">
        <v>569</v>
      </c>
      <c r="J76" s="15">
        <v>337.52</v>
      </c>
      <c r="K76" s="15" t="s">
        <v>40</v>
      </c>
      <c r="L76" s="15" t="s">
        <v>41</v>
      </c>
      <c r="M76" s="15" t="s">
        <v>92</v>
      </c>
      <c r="N76" s="15" t="s">
        <v>570</v>
      </c>
      <c r="O76" s="15" t="s">
        <v>571</v>
      </c>
      <c r="P76" s="15" t="s">
        <v>95</v>
      </c>
      <c r="Q76" s="15" t="s">
        <v>95</v>
      </c>
      <c r="R76" s="15" t="s">
        <v>422</v>
      </c>
      <c r="S76" s="15" t="s">
        <v>67</v>
      </c>
      <c r="T76" s="15">
        <v>55</v>
      </c>
      <c r="U76" s="15" t="s">
        <v>55</v>
      </c>
      <c r="V76" s="15" t="s">
        <v>55</v>
      </c>
      <c r="W76" s="15" t="s">
        <v>55</v>
      </c>
      <c r="X76" s="15" t="s">
        <v>168</v>
      </c>
      <c r="Y76" s="15"/>
      <c r="Z76" s="15"/>
      <c r="AA76" s="15" t="s">
        <v>53</v>
      </c>
      <c r="AB76" s="15" t="s">
        <v>53</v>
      </c>
      <c r="AC76" s="15" t="s">
        <v>54</v>
      </c>
      <c r="AD76" s="15" t="s">
        <v>54</v>
      </c>
      <c r="AE76" s="15" t="s">
        <v>54</v>
      </c>
      <c r="AF76" s="15" t="s">
        <v>54</v>
      </c>
      <c r="AG76" s="15" t="s">
        <v>424</v>
      </c>
      <c r="AH76" s="15">
        <v>319.5</v>
      </c>
      <c r="AI76" s="15">
        <v>319.5</v>
      </c>
      <c r="AJ76" s="15">
        <v>319.5</v>
      </c>
      <c r="AK76" s="15">
        <v>319.5</v>
      </c>
      <c r="AL76" s="15">
        <v>308.2</v>
      </c>
      <c r="AM76" s="15" t="s">
        <v>55</v>
      </c>
    </row>
    <row r="77" spans="1:39" x14ac:dyDescent="0.35">
      <c r="A77" s="15">
        <v>30684</v>
      </c>
      <c r="B77" s="15" t="s">
        <v>417</v>
      </c>
      <c r="C77" s="15" t="s">
        <v>572</v>
      </c>
      <c r="D77" s="15">
        <v>96</v>
      </c>
      <c r="E77" s="15" t="s">
        <v>573</v>
      </c>
      <c r="F77" s="15" t="s">
        <v>573</v>
      </c>
      <c r="G77" s="15" t="s">
        <v>58</v>
      </c>
      <c r="H77" s="15">
        <v>180.85</v>
      </c>
      <c r="I77" s="15" t="s">
        <v>574</v>
      </c>
      <c r="J77" s="15">
        <v>180.54</v>
      </c>
      <c r="K77" s="15" t="s">
        <v>40</v>
      </c>
      <c r="L77" s="15" t="s">
        <v>41</v>
      </c>
      <c r="M77" s="15" t="s">
        <v>95</v>
      </c>
      <c r="N77" s="15" t="s">
        <v>575</v>
      </c>
      <c r="O77" s="15" t="s">
        <v>576</v>
      </c>
      <c r="P77" s="15" t="s">
        <v>95</v>
      </c>
      <c r="Q77" s="15" t="s">
        <v>95</v>
      </c>
      <c r="R77" s="15" t="s">
        <v>422</v>
      </c>
      <c r="S77" s="15" t="s">
        <v>67</v>
      </c>
      <c r="T77" s="15">
        <v>133</v>
      </c>
      <c r="U77" s="15" t="s">
        <v>577</v>
      </c>
      <c r="V77" s="15" t="s">
        <v>55</v>
      </c>
      <c r="W77" s="15" t="s">
        <v>55</v>
      </c>
      <c r="X77" s="15" t="s">
        <v>168</v>
      </c>
      <c r="Y77" s="15"/>
      <c r="Z77" s="15"/>
      <c r="AA77" s="15" t="s">
        <v>53</v>
      </c>
      <c r="AB77" s="15" t="s">
        <v>53</v>
      </c>
      <c r="AC77" s="15" t="s">
        <v>54</v>
      </c>
      <c r="AD77" s="15" t="s">
        <v>54</v>
      </c>
      <c r="AE77" s="15" t="s">
        <v>54</v>
      </c>
      <c r="AF77" s="15" t="s">
        <v>54</v>
      </c>
      <c r="AG77" s="15" t="s">
        <v>424</v>
      </c>
      <c r="AH77" s="15">
        <v>139.5</v>
      </c>
      <c r="AI77" s="15">
        <v>139.5</v>
      </c>
      <c r="AJ77" s="15">
        <v>139.5</v>
      </c>
      <c r="AK77" s="15">
        <v>139.5</v>
      </c>
      <c r="AL77" s="15">
        <v>73.3</v>
      </c>
      <c r="AM77" s="15" t="s">
        <v>55</v>
      </c>
    </row>
    <row r="78" spans="1:39" x14ac:dyDescent="0.35">
      <c r="A78" s="15">
        <v>11946</v>
      </c>
      <c r="B78" s="15" t="s">
        <v>417</v>
      </c>
      <c r="C78" s="15" t="s">
        <v>578</v>
      </c>
      <c r="D78" s="15">
        <v>96</v>
      </c>
      <c r="E78" s="15" t="s">
        <v>579</v>
      </c>
      <c r="F78" s="15" t="s">
        <v>579</v>
      </c>
      <c r="G78" s="15" t="s">
        <v>58</v>
      </c>
      <c r="H78" s="15">
        <v>207.64</v>
      </c>
      <c r="I78" s="15" t="s">
        <v>427</v>
      </c>
      <c r="J78" s="15">
        <v>207.54</v>
      </c>
      <c r="K78" s="15" t="s">
        <v>40</v>
      </c>
      <c r="L78" s="15" t="s">
        <v>41</v>
      </c>
      <c r="M78" s="15" t="s">
        <v>62</v>
      </c>
      <c r="N78" s="15" t="s">
        <v>580</v>
      </c>
      <c r="O78" s="15" t="s">
        <v>581</v>
      </c>
      <c r="P78" s="15" t="s">
        <v>95</v>
      </c>
      <c r="Q78" s="15" t="s">
        <v>95</v>
      </c>
      <c r="R78" s="15" t="s">
        <v>422</v>
      </c>
      <c r="S78" s="15" t="s">
        <v>67</v>
      </c>
      <c r="T78" s="15">
        <v>135</v>
      </c>
      <c r="U78" s="15" t="s">
        <v>582</v>
      </c>
      <c r="V78" s="15" t="s">
        <v>55</v>
      </c>
      <c r="W78" s="15" t="s">
        <v>55</v>
      </c>
      <c r="X78" s="15" t="s">
        <v>168</v>
      </c>
      <c r="Y78" s="15">
        <v>75</v>
      </c>
      <c r="Z78" s="15">
        <v>127</v>
      </c>
      <c r="AA78" s="15" t="s">
        <v>53</v>
      </c>
      <c r="AB78" s="15" t="s">
        <v>53</v>
      </c>
      <c r="AC78" s="15" t="s">
        <v>54</v>
      </c>
      <c r="AD78" s="15" t="s">
        <v>54</v>
      </c>
      <c r="AE78" s="15" t="s">
        <v>54</v>
      </c>
      <c r="AF78" s="15" t="s">
        <v>53</v>
      </c>
      <c r="AG78" s="15" t="s">
        <v>424</v>
      </c>
      <c r="AH78" s="15">
        <v>137.80000000000001</v>
      </c>
      <c r="AI78" s="15">
        <v>137.80000000000001</v>
      </c>
      <c r="AJ78" s="15">
        <v>137.80000000000001</v>
      </c>
      <c r="AK78" s="15">
        <v>137.80000000000001</v>
      </c>
      <c r="AL78" s="15">
        <v>91.1</v>
      </c>
      <c r="AM78" s="15" t="s">
        <v>55</v>
      </c>
    </row>
    <row r="79" spans="1:39" x14ac:dyDescent="0.35">
      <c r="A79" s="15">
        <v>31782</v>
      </c>
      <c r="B79" s="15" t="s">
        <v>417</v>
      </c>
      <c r="C79" s="15" t="s">
        <v>583</v>
      </c>
      <c r="D79" s="15">
        <v>96</v>
      </c>
      <c r="E79" s="15" t="s">
        <v>584</v>
      </c>
      <c r="F79" s="15" t="s">
        <v>584</v>
      </c>
      <c r="G79" s="15" t="s">
        <v>58</v>
      </c>
      <c r="H79" s="15">
        <v>336.01</v>
      </c>
      <c r="I79" s="15" t="s">
        <v>427</v>
      </c>
      <c r="J79" s="15">
        <v>335.51</v>
      </c>
      <c r="K79" s="15" t="s">
        <v>40</v>
      </c>
      <c r="L79" s="15" t="s">
        <v>41</v>
      </c>
      <c r="M79" s="15" t="s">
        <v>92</v>
      </c>
      <c r="N79" s="15" t="s">
        <v>585</v>
      </c>
      <c r="O79" s="15" t="s">
        <v>586</v>
      </c>
      <c r="P79" s="15" t="s">
        <v>95</v>
      </c>
      <c r="Q79" s="15" t="s">
        <v>95</v>
      </c>
      <c r="R79" s="15" t="s">
        <v>422</v>
      </c>
      <c r="S79" s="15" t="s">
        <v>67</v>
      </c>
      <c r="T79" s="15"/>
      <c r="U79" s="15" t="s">
        <v>55</v>
      </c>
      <c r="V79" s="15" t="s">
        <v>55</v>
      </c>
      <c r="W79" s="15" t="s">
        <v>55</v>
      </c>
      <c r="X79" s="15" t="s">
        <v>168</v>
      </c>
      <c r="Y79" s="15"/>
      <c r="Z79" s="15"/>
      <c r="AA79" s="15" t="s">
        <v>53</v>
      </c>
      <c r="AB79" s="15" t="s">
        <v>53</v>
      </c>
      <c r="AC79" s="15" t="s">
        <v>54</v>
      </c>
      <c r="AD79" s="15" t="s">
        <v>54</v>
      </c>
      <c r="AE79" s="15" t="s">
        <v>54</v>
      </c>
      <c r="AF79" s="15" t="s">
        <v>54</v>
      </c>
      <c r="AG79" s="15" t="s">
        <v>424</v>
      </c>
      <c r="AH79" s="15">
        <v>315.60000000000002</v>
      </c>
      <c r="AI79" s="15">
        <v>315.60000000000002</v>
      </c>
      <c r="AJ79" s="15">
        <v>315.60000000000002</v>
      </c>
      <c r="AK79" s="15">
        <v>315.60000000000002</v>
      </c>
      <c r="AL79" s="15">
        <v>304.2</v>
      </c>
      <c r="AM79" s="15" t="s">
        <v>55</v>
      </c>
    </row>
    <row r="80" spans="1:39" x14ac:dyDescent="0.35">
      <c r="A80" s="15">
        <v>31781</v>
      </c>
      <c r="B80" s="15" t="s">
        <v>417</v>
      </c>
      <c r="C80" s="15" t="s">
        <v>587</v>
      </c>
      <c r="D80" s="15">
        <v>96</v>
      </c>
      <c r="E80" s="15" t="s">
        <v>588</v>
      </c>
      <c r="F80" s="15" t="s">
        <v>588</v>
      </c>
      <c r="G80" s="15" t="s">
        <v>58</v>
      </c>
      <c r="H80" s="15">
        <v>229.57</v>
      </c>
      <c r="I80" s="15" t="s">
        <v>589</v>
      </c>
      <c r="J80" s="15">
        <v>229.57</v>
      </c>
      <c r="K80" s="15" t="s">
        <v>40</v>
      </c>
      <c r="L80" s="15" t="s">
        <v>41</v>
      </c>
      <c r="M80" s="15" t="s">
        <v>92</v>
      </c>
      <c r="N80" s="15" t="s">
        <v>590</v>
      </c>
      <c r="O80" s="15" t="s">
        <v>591</v>
      </c>
      <c r="P80" s="15" t="s">
        <v>95</v>
      </c>
      <c r="Q80" s="15" t="s">
        <v>95</v>
      </c>
      <c r="R80" s="15" t="s">
        <v>422</v>
      </c>
      <c r="S80" s="15" t="s">
        <v>67</v>
      </c>
      <c r="T80" s="15"/>
      <c r="U80" s="15" t="s">
        <v>55</v>
      </c>
      <c r="V80" s="15" t="s">
        <v>55</v>
      </c>
      <c r="W80" s="15" t="s">
        <v>55</v>
      </c>
      <c r="X80" s="15" t="s">
        <v>168</v>
      </c>
      <c r="Y80" s="15"/>
      <c r="Z80" s="15"/>
      <c r="AA80" s="15" t="s">
        <v>53</v>
      </c>
      <c r="AB80" s="15" t="s">
        <v>53</v>
      </c>
      <c r="AC80" s="15" t="s">
        <v>54</v>
      </c>
      <c r="AD80" s="15" t="s">
        <v>54</v>
      </c>
      <c r="AE80" s="15" t="s">
        <v>54</v>
      </c>
      <c r="AF80" s="15" t="s">
        <v>54</v>
      </c>
      <c r="AG80" s="15" t="s">
        <v>424</v>
      </c>
      <c r="AH80" s="15">
        <v>215</v>
      </c>
      <c r="AI80" s="15">
        <v>215</v>
      </c>
      <c r="AJ80" s="15">
        <v>215</v>
      </c>
      <c r="AK80" s="15">
        <v>215</v>
      </c>
      <c r="AL80" s="15">
        <v>207.7</v>
      </c>
      <c r="AM80" s="15" t="s">
        <v>55</v>
      </c>
    </row>
    <row r="81" spans="1:39" x14ac:dyDescent="0.35">
      <c r="A81" s="15">
        <v>30692</v>
      </c>
      <c r="B81" s="15" t="s">
        <v>417</v>
      </c>
      <c r="C81" s="15" t="s">
        <v>592</v>
      </c>
      <c r="D81" s="15">
        <v>96</v>
      </c>
      <c r="E81" s="15" t="s">
        <v>593</v>
      </c>
      <c r="F81" s="15" t="s">
        <v>593</v>
      </c>
      <c r="G81" s="15" t="s">
        <v>58</v>
      </c>
      <c r="H81" s="15">
        <v>161.30000000000001</v>
      </c>
      <c r="I81" s="15" t="s">
        <v>594</v>
      </c>
      <c r="J81" s="15">
        <v>161.32</v>
      </c>
      <c r="K81" s="15" t="s">
        <v>40</v>
      </c>
      <c r="L81" s="15" t="s">
        <v>41</v>
      </c>
      <c r="M81" s="15" t="s">
        <v>62</v>
      </c>
      <c r="N81" s="15" t="s">
        <v>595</v>
      </c>
      <c r="O81" s="15" t="s">
        <v>596</v>
      </c>
      <c r="P81" s="15" t="s">
        <v>85</v>
      </c>
      <c r="Q81" s="15" t="s">
        <v>46</v>
      </c>
      <c r="R81" s="15" t="s">
        <v>422</v>
      </c>
      <c r="S81" s="15" t="s">
        <v>67</v>
      </c>
      <c r="T81" s="15">
        <v>196</v>
      </c>
      <c r="U81" s="15" t="s">
        <v>597</v>
      </c>
      <c r="V81" s="15" t="s">
        <v>55</v>
      </c>
      <c r="W81" s="15" t="s">
        <v>55</v>
      </c>
      <c r="X81" s="15" t="s">
        <v>168</v>
      </c>
      <c r="Y81" s="15">
        <v>25</v>
      </c>
      <c r="Z81" s="15">
        <v>152</v>
      </c>
      <c r="AA81" s="15" t="s">
        <v>53</v>
      </c>
      <c r="AB81" s="15" t="s">
        <v>53</v>
      </c>
      <c r="AC81" s="15" t="s">
        <v>54</v>
      </c>
      <c r="AD81" s="15" t="s">
        <v>54</v>
      </c>
      <c r="AE81" s="15" t="s">
        <v>54</v>
      </c>
      <c r="AF81" s="15" t="s">
        <v>53</v>
      </c>
      <c r="AG81" s="15" t="s">
        <v>424</v>
      </c>
      <c r="AH81" s="15">
        <v>127.5</v>
      </c>
      <c r="AI81" s="15">
        <v>127.5</v>
      </c>
      <c r="AJ81" s="15">
        <v>127.5</v>
      </c>
      <c r="AK81" s="15">
        <v>127.5</v>
      </c>
      <c r="AL81" s="15">
        <v>90.9</v>
      </c>
      <c r="AM81" s="15" t="s">
        <v>55</v>
      </c>
    </row>
    <row r="82" spans="1:39" x14ac:dyDescent="0.35">
      <c r="A82" s="15">
        <v>30790</v>
      </c>
      <c r="B82" s="15" t="s">
        <v>417</v>
      </c>
      <c r="C82" s="15" t="s">
        <v>598</v>
      </c>
      <c r="D82" s="15">
        <v>96</v>
      </c>
      <c r="E82" s="15" t="s">
        <v>599</v>
      </c>
      <c r="F82" s="15" t="s">
        <v>599</v>
      </c>
      <c r="G82" s="15" t="s">
        <v>58</v>
      </c>
      <c r="H82" s="15">
        <v>91.81</v>
      </c>
      <c r="I82" s="15" t="s">
        <v>600</v>
      </c>
      <c r="J82" s="15">
        <v>91.12</v>
      </c>
      <c r="K82" s="15" t="s">
        <v>40</v>
      </c>
      <c r="L82" s="15" t="s">
        <v>41</v>
      </c>
      <c r="M82" s="15" t="s">
        <v>62</v>
      </c>
      <c r="N82" s="15" t="s">
        <v>601</v>
      </c>
      <c r="O82" s="15" t="s">
        <v>602</v>
      </c>
      <c r="P82" s="15" t="s">
        <v>95</v>
      </c>
      <c r="Q82" s="15" t="s">
        <v>95</v>
      </c>
      <c r="R82" s="15" t="s">
        <v>422</v>
      </c>
      <c r="S82" s="15" t="s">
        <v>67</v>
      </c>
      <c r="T82" s="15">
        <v>216</v>
      </c>
      <c r="U82" s="15" t="s">
        <v>603</v>
      </c>
      <c r="V82" s="15" t="s">
        <v>55</v>
      </c>
      <c r="W82" s="15" t="s">
        <v>55</v>
      </c>
      <c r="X82" s="15" t="s">
        <v>168</v>
      </c>
      <c r="Y82" s="15">
        <v>100</v>
      </c>
      <c r="Z82" s="15">
        <v>216</v>
      </c>
      <c r="AA82" s="15" t="s">
        <v>53</v>
      </c>
      <c r="AB82" s="15" t="s">
        <v>53</v>
      </c>
      <c r="AC82" s="15" t="s">
        <v>54</v>
      </c>
      <c r="AD82" s="15" t="s">
        <v>54</v>
      </c>
      <c r="AE82" s="15" t="s">
        <v>54</v>
      </c>
      <c r="AF82" s="15" t="s">
        <v>54</v>
      </c>
      <c r="AG82" s="15" t="s">
        <v>424</v>
      </c>
      <c r="AH82" s="15">
        <v>26.8</v>
      </c>
      <c r="AI82" s="15">
        <v>26.8</v>
      </c>
      <c r="AJ82" s="15">
        <v>26.8</v>
      </c>
      <c r="AK82" s="15">
        <v>26.8</v>
      </c>
      <c r="AL82" s="15">
        <v>-43</v>
      </c>
      <c r="AM82" s="15" t="s">
        <v>55</v>
      </c>
    </row>
    <row r="83" spans="1:39" x14ac:dyDescent="0.35">
      <c r="A83" s="15">
        <v>12458</v>
      </c>
      <c r="B83" s="15" t="s">
        <v>417</v>
      </c>
      <c r="C83" s="15" t="s">
        <v>604</v>
      </c>
      <c r="D83" s="15">
        <v>96</v>
      </c>
      <c r="E83" s="15" t="s">
        <v>605</v>
      </c>
      <c r="F83" s="15" t="s">
        <v>605</v>
      </c>
      <c r="G83" s="15" t="s">
        <v>58</v>
      </c>
      <c r="H83" s="15">
        <v>112.76</v>
      </c>
      <c r="I83" s="15" t="s">
        <v>574</v>
      </c>
      <c r="J83" s="15">
        <v>112.47</v>
      </c>
      <c r="K83" s="15" t="s">
        <v>40</v>
      </c>
      <c r="L83" s="15" t="s">
        <v>41</v>
      </c>
      <c r="M83" s="15" t="s">
        <v>62</v>
      </c>
      <c r="N83" s="15" t="s">
        <v>606</v>
      </c>
      <c r="O83" s="15" t="s">
        <v>607</v>
      </c>
      <c r="P83" s="15" t="s">
        <v>95</v>
      </c>
      <c r="Q83" s="15" t="s">
        <v>95</v>
      </c>
      <c r="R83" s="15" t="s">
        <v>422</v>
      </c>
      <c r="S83" s="15" t="s">
        <v>67</v>
      </c>
      <c r="T83" s="15">
        <v>336</v>
      </c>
      <c r="U83" s="15" t="s">
        <v>608</v>
      </c>
      <c r="V83" s="15" t="s">
        <v>55</v>
      </c>
      <c r="W83" s="15" t="s">
        <v>55</v>
      </c>
      <c r="X83" s="15" t="s">
        <v>168</v>
      </c>
      <c r="Y83" s="15"/>
      <c r="Z83" s="15"/>
      <c r="AA83" s="15" t="s">
        <v>53</v>
      </c>
      <c r="AB83" s="15" t="s">
        <v>53</v>
      </c>
      <c r="AC83" s="15" t="s">
        <v>54</v>
      </c>
      <c r="AD83" s="15" t="s">
        <v>54</v>
      </c>
      <c r="AE83" s="15" t="s">
        <v>54</v>
      </c>
      <c r="AF83" s="15" t="s">
        <v>54</v>
      </c>
      <c r="AG83" s="15" t="s">
        <v>424</v>
      </c>
      <c r="AH83" s="15">
        <v>77.8</v>
      </c>
      <c r="AI83" s="15">
        <v>77.8</v>
      </c>
      <c r="AJ83" s="15">
        <v>77.8</v>
      </c>
      <c r="AK83" s="15">
        <v>77.8</v>
      </c>
      <c r="AL83" s="15">
        <v>58.4</v>
      </c>
      <c r="AM83" s="15" t="s">
        <v>55</v>
      </c>
    </row>
    <row r="84" spans="1:39" x14ac:dyDescent="0.35">
      <c r="A84" s="15">
        <v>30487</v>
      </c>
      <c r="B84" s="15" t="s">
        <v>417</v>
      </c>
      <c r="C84" s="15" t="s">
        <v>609</v>
      </c>
      <c r="D84" s="15">
        <v>96</v>
      </c>
      <c r="E84" s="15" t="s">
        <v>610</v>
      </c>
      <c r="F84" s="15" t="s">
        <v>610</v>
      </c>
      <c r="G84" s="15" t="s">
        <v>58</v>
      </c>
      <c r="H84" s="15">
        <v>354.35</v>
      </c>
      <c r="I84" s="15" t="s">
        <v>574</v>
      </c>
      <c r="J84" s="15">
        <v>352.6</v>
      </c>
      <c r="K84" s="15" t="s">
        <v>40</v>
      </c>
      <c r="L84" s="15" t="s">
        <v>41</v>
      </c>
      <c r="M84" s="15" t="s">
        <v>92</v>
      </c>
      <c r="N84" s="15" t="s">
        <v>611</v>
      </c>
      <c r="O84" s="15" t="s">
        <v>612</v>
      </c>
      <c r="P84" s="15" t="s">
        <v>95</v>
      </c>
      <c r="Q84" s="15" t="s">
        <v>95</v>
      </c>
      <c r="R84" s="15" t="s">
        <v>422</v>
      </c>
      <c r="S84" s="15" t="s">
        <v>67</v>
      </c>
      <c r="T84" s="15">
        <v>205</v>
      </c>
      <c r="U84" s="15" t="s">
        <v>613</v>
      </c>
      <c r="V84" s="15" t="s">
        <v>55</v>
      </c>
      <c r="W84" s="15" t="s">
        <v>55</v>
      </c>
      <c r="X84" s="15" t="s">
        <v>168</v>
      </c>
      <c r="Y84" s="15">
        <v>174</v>
      </c>
      <c r="Z84" s="15">
        <v>204</v>
      </c>
      <c r="AA84" s="15" t="s">
        <v>53</v>
      </c>
      <c r="AB84" s="15" t="s">
        <v>53</v>
      </c>
      <c r="AC84" s="15" t="s">
        <v>54</v>
      </c>
      <c r="AD84" s="15" t="s">
        <v>54</v>
      </c>
      <c r="AE84" s="15" t="s">
        <v>54</v>
      </c>
      <c r="AF84" s="15" t="s">
        <v>54</v>
      </c>
      <c r="AG84" s="15" t="s">
        <v>424</v>
      </c>
      <c r="AH84" s="15">
        <v>241.7</v>
      </c>
      <c r="AI84" s="15">
        <v>241.7</v>
      </c>
      <c r="AJ84" s="15">
        <v>241.7</v>
      </c>
      <c r="AK84" s="15">
        <v>241.7</v>
      </c>
      <c r="AL84" s="15">
        <v>212.7</v>
      </c>
      <c r="AM84" s="15" t="s">
        <v>55</v>
      </c>
    </row>
    <row r="85" spans="1:39" x14ac:dyDescent="0.35">
      <c r="A85" s="15">
        <v>34056</v>
      </c>
      <c r="B85" s="15" t="s">
        <v>417</v>
      </c>
      <c r="C85" s="15" t="s">
        <v>614</v>
      </c>
      <c r="D85" s="15">
        <v>96</v>
      </c>
      <c r="E85" s="15" t="s">
        <v>615</v>
      </c>
      <c r="F85" s="15" t="s">
        <v>615</v>
      </c>
      <c r="G85" s="15" t="s">
        <v>58</v>
      </c>
      <c r="H85" s="15">
        <v>100.09</v>
      </c>
      <c r="I85" s="15" t="s">
        <v>82</v>
      </c>
      <c r="J85" s="15">
        <v>99.85</v>
      </c>
      <c r="K85" s="15" t="s">
        <v>95</v>
      </c>
      <c r="L85" s="15" t="s">
        <v>95</v>
      </c>
      <c r="M85" s="15" t="s">
        <v>62</v>
      </c>
      <c r="N85" s="15" t="s">
        <v>616</v>
      </c>
      <c r="O85" s="15" t="s">
        <v>617</v>
      </c>
      <c r="P85" s="15" t="s">
        <v>95</v>
      </c>
      <c r="Q85" s="15" t="s">
        <v>95</v>
      </c>
      <c r="R85" s="15" t="s">
        <v>55</v>
      </c>
      <c r="S85" s="15" t="s">
        <v>67</v>
      </c>
      <c r="T85" s="15">
        <v>242</v>
      </c>
      <c r="U85" s="15" t="s">
        <v>618</v>
      </c>
      <c r="V85" s="15" t="s">
        <v>55</v>
      </c>
      <c r="W85" s="15" t="s">
        <v>55</v>
      </c>
      <c r="X85" s="15" t="s">
        <v>168</v>
      </c>
      <c r="Y85" s="15">
        <v>100</v>
      </c>
      <c r="Z85" s="15">
        <v>235</v>
      </c>
      <c r="AA85" s="15" t="s">
        <v>53</v>
      </c>
      <c r="AB85" s="15" t="s">
        <v>53</v>
      </c>
      <c r="AC85" s="15" t="s">
        <v>54</v>
      </c>
      <c r="AD85" s="15" t="s">
        <v>54</v>
      </c>
      <c r="AE85" s="15" t="s">
        <v>54</v>
      </c>
      <c r="AF85" s="15" t="s">
        <v>54</v>
      </c>
      <c r="AG85" s="15" t="s">
        <v>424</v>
      </c>
      <c r="AH85" s="15">
        <v>27.63</v>
      </c>
      <c r="AI85" s="15">
        <v>27.63</v>
      </c>
      <c r="AJ85" s="15">
        <v>27.63</v>
      </c>
      <c r="AK85" s="15">
        <v>27.63</v>
      </c>
      <c r="AL85" s="15">
        <v>-47.41</v>
      </c>
      <c r="AM85" s="15" t="s">
        <v>619</v>
      </c>
    </row>
    <row r="86" spans="1:39" x14ac:dyDescent="0.35">
      <c r="A86" s="15">
        <v>11089</v>
      </c>
      <c r="B86" s="15" t="s">
        <v>417</v>
      </c>
      <c r="C86" s="15" t="s">
        <v>620</v>
      </c>
      <c r="D86" s="15">
        <v>96</v>
      </c>
      <c r="E86" s="15" t="s">
        <v>621</v>
      </c>
      <c r="F86" s="15" t="s">
        <v>621</v>
      </c>
      <c r="G86" s="15" t="s">
        <v>58</v>
      </c>
      <c r="H86" s="15">
        <v>141.38</v>
      </c>
      <c r="I86" s="15" t="s">
        <v>622</v>
      </c>
      <c r="J86" s="15">
        <v>141.38</v>
      </c>
      <c r="K86" s="15" t="s">
        <v>40</v>
      </c>
      <c r="L86" s="15" t="s">
        <v>41</v>
      </c>
      <c r="M86" s="15" t="s">
        <v>62</v>
      </c>
      <c r="N86" s="15" t="s">
        <v>623</v>
      </c>
      <c r="O86" s="15" t="s">
        <v>624</v>
      </c>
      <c r="P86" s="15" t="s">
        <v>95</v>
      </c>
      <c r="Q86" s="15" t="s">
        <v>95</v>
      </c>
      <c r="R86" s="15" t="s">
        <v>422</v>
      </c>
      <c r="S86" s="15" t="s">
        <v>67</v>
      </c>
      <c r="T86" s="15">
        <v>240</v>
      </c>
      <c r="U86" s="15" t="s">
        <v>625</v>
      </c>
      <c r="V86" s="15" t="s">
        <v>55</v>
      </c>
      <c r="W86" s="15" t="s">
        <v>55</v>
      </c>
      <c r="X86" s="15" t="s">
        <v>168</v>
      </c>
      <c r="Y86" s="15">
        <v>88</v>
      </c>
      <c r="Z86" s="15">
        <v>240</v>
      </c>
      <c r="AA86" s="15" t="s">
        <v>53</v>
      </c>
      <c r="AB86" s="15" t="s">
        <v>53</v>
      </c>
      <c r="AC86" s="15" t="s">
        <v>54</v>
      </c>
      <c r="AD86" s="15" t="s">
        <v>54</v>
      </c>
      <c r="AE86" s="15" t="s">
        <v>54</v>
      </c>
      <c r="AF86" s="15" t="s">
        <v>54</v>
      </c>
      <c r="AG86" s="15" t="s">
        <v>424</v>
      </c>
      <c r="AH86" s="15">
        <v>120.5</v>
      </c>
      <c r="AI86" s="15">
        <v>120.5</v>
      </c>
      <c r="AJ86" s="15">
        <v>120.5</v>
      </c>
      <c r="AK86" s="15">
        <v>120.5</v>
      </c>
      <c r="AL86" s="15">
        <v>93</v>
      </c>
      <c r="AM86" s="15" t="s">
        <v>55</v>
      </c>
    </row>
    <row r="87" spans="1:39" x14ac:dyDescent="0.35">
      <c r="A87" s="15">
        <v>9703</v>
      </c>
      <c r="B87" s="15" t="s">
        <v>417</v>
      </c>
      <c r="C87" s="15" t="s">
        <v>626</v>
      </c>
      <c r="D87" s="15">
        <v>96</v>
      </c>
      <c r="E87" s="15" t="s">
        <v>627</v>
      </c>
      <c r="F87" s="15" t="s">
        <v>627</v>
      </c>
      <c r="G87" s="15" t="s">
        <v>58</v>
      </c>
      <c r="H87" s="15">
        <v>124.52</v>
      </c>
      <c r="I87" s="15" t="s">
        <v>82</v>
      </c>
      <c r="J87" s="15">
        <v>123.69</v>
      </c>
      <c r="K87" s="15" t="s">
        <v>40</v>
      </c>
      <c r="L87" s="15" t="s">
        <v>41</v>
      </c>
      <c r="M87" s="15" t="s">
        <v>62</v>
      </c>
      <c r="N87" s="15" t="s">
        <v>628</v>
      </c>
      <c r="O87" s="15" t="s">
        <v>629</v>
      </c>
      <c r="P87" s="15" t="s">
        <v>95</v>
      </c>
      <c r="Q87" s="15" t="s">
        <v>95</v>
      </c>
      <c r="R87" s="15" t="s">
        <v>422</v>
      </c>
      <c r="S87" s="15" t="s">
        <v>67</v>
      </c>
      <c r="T87" s="15">
        <v>432</v>
      </c>
      <c r="U87" s="15" t="s">
        <v>630</v>
      </c>
      <c r="V87" s="15" t="s">
        <v>55</v>
      </c>
      <c r="W87" s="15" t="s">
        <v>55</v>
      </c>
      <c r="X87" s="15" t="s">
        <v>168</v>
      </c>
      <c r="Y87" s="15">
        <v>160</v>
      </c>
      <c r="Z87" s="15">
        <v>205</v>
      </c>
      <c r="AA87" s="15" t="s">
        <v>53</v>
      </c>
      <c r="AB87" s="15" t="s">
        <v>53</v>
      </c>
      <c r="AC87" s="15" t="s">
        <v>54</v>
      </c>
      <c r="AD87" s="15" t="s">
        <v>54</v>
      </c>
      <c r="AE87" s="15" t="s">
        <v>54</v>
      </c>
      <c r="AF87" s="15" t="s">
        <v>54</v>
      </c>
      <c r="AG87" s="15" t="s">
        <v>424</v>
      </c>
      <c r="AH87" s="15">
        <v>111.1</v>
      </c>
      <c r="AI87" s="15">
        <v>111.1</v>
      </c>
      <c r="AJ87" s="15">
        <v>111.1</v>
      </c>
      <c r="AK87" s="15">
        <v>111.1</v>
      </c>
      <c r="AL87" s="15">
        <v>68.3</v>
      </c>
      <c r="AM87" s="15" t="s">
        <v>55</v>
      </c>
    </row>
    <row r="88" spans="1:39" x14ac:dyDescent="0.35">
      <c r="A88" s="15">
        <v>27234</v>
      </c>
      <c r="B88" s="15" t="s">
        <v>417</v>
      </c>
      <c r="C88" s="15" t="s">
        <v>631</v>
      </c>
      <c r="D88" s="15">
        <v>96</v>
      </c>
      <c r="E88" s="15" t="s">
        <v>632</v>
      </c>
      <c r="F88" s="15" t="s">
        <v>632</v>
      </c>
      <c r="G88" s="15" t="s">
        <v>58</v>
      </c>
      <c r="H88" s="15">
        <v>70.78</v>
      </c>
      <c r="I88" s="15" t="s">
        <v>82</v>
      </c>
      <c r="J88" s="15">
        <v>69.73</v>
      </c>
      <c r="K88" s="15" t="s">
        <v>40</v>
      </c>
      <c r="L88" s="15" t="s">
        <v>41</v>
      </c>
      <c r="M88" s="15" t="s">
        <v>62</v>
      </c>
      <c r="N88" s="15" t="s">
        <v>633</v>
      </c>
      <c r="O88" s="15" t="s">
        <v>634</v>
      </c>
      <c r="P88" s="15" t="s">
        <v>85</v>
      </c>
      <c r="Q88" s="15" t="s">
        <v>46</v>
      </c>
      <c r="R88" s="15" t="s">
        <v>422</v>
      </c>
      <c r="S88" s="15" t="s">
        <v>67</v>
      </c>
      <c r="T88" s="15">
        <v>425</v>
      </c>
      <c r="U88" s="15" t="s">
        <v>635</v>
      </c>
      <c r="V88" s="15" t="s">
        <v>55</v>
      </c>
      <c r="W88" s="15" t="s">
        <v>55</v>
      </c>
      <c r="X88" s="15" t="s">
        <v>168</v>
      </c>
      <c r="Y88" s="15">
        <v>37</v>
      </c>
      <c r="Z88" s="15">
        <v>419</v>
      </c>
      <c r="AA88" s="15" t="s">
        <v>53</v>
      </c>
      <c r="AB88" s="15" t="s">
        <v>53</v>
      </c>
      <c r="AC88" s="15" t="s">
        <v>54</v>
      </c>
      <c r="AD88" s="15" t="s">
        <v>54</v>
      </c>
      <c r="AE88" s="15" t="s">
        <v>54</v>
      </c>
      <c r="AF88" s="15" t="s">
        <v>54</v>
      </c>
      <c r="AG88" s="15" t="s">
        <v>424</v>
      </c>
      <c r="AH88" s="15">
        <v>24.7</v>
      </c>
      <c r="AI88" s="15">
        <v>24.7</v>
      </c>
      <c r="AJ88" s="15">
        <v>24.7</v>
      </c>
      <c r="AK88" s="15">
        <v>24.7</v>
      </c>
      <c r="AL88" s="15">
        <v>-45.4</v>
      </c>
      <c r="AM88" s="15" t="s">
        <v>55</v>
      </c>
    </row>
    <row r="89" spans="1:39" x14ac:dyDescent="0.35">
      <c r="A89" s="15">
        <v>31070</v>
      </c>
      <c r="B89" s="15" t="s">
        <v>417</v>
      </c>
      <c r="C89" s="15" t="s">
        <v>636</v>
      </c>
      <c r="D89" s="15">
        <v>96</v>
      </c>
      <c r="E89" s="15" t="s">
        <v>637</v>
      </c>
      <c r="F89" s="15" t="s">
        <v>637</v>
      </c>
      <c r="G89" s="15" t="s">
        <v>58</v>
      </c>
      <c r="H89" s="15">
        <v>198.9</v>
      </c>
      <c r="I89" s="15" t="s">
        <v>444</v>
      </c>
      <c r="J89" s="15">
        <v>197.39</v>
      </c>
      <c r="K89" s="15" t="s">
        <v>40</v>
      </c>
      <c r="L89" s="15" t="s">
        <v>41</v>
      </c>
      <c r="M89" s="15" t="s">
        <v>62</v>
      </c>
      <c r="N89" s="15" t="s">
        <v>638</v>
      </c>
      <c r="O89" s="15" t="s">
        <v>639</v>
      </c>
      <c r="P89" s="15" t="s">
        <v>95</v>
      </c>
      <c r="Q89" s="15" t="s">
        <v>95</v>
      </c>
      <c r="R89" s="15" t="s">
        <v>422</v>
      </c>
      <c r="S89" s="15" t="s">
        <v>67</v>
      </c>
      <c r="T89" s="15">
        <v>425</v>
      </c>
      <c r="U89" s="15" t="s">
        <v>640</v>
      </c>
      <c r="V89" s="15" t="s">
        <v>55</v>
      </c>
      <c r="W89" s="15" t="s">
        <v>55</v>
      </c>
      <c r="X89" s="15" t="s">
        <v>168</v>
      </c>
      <c r="Y89" s="15"/>
      <c r="Z89" s="15"/>
      <c r="AA89" s="15" t="s">
        <v>53</v>
      </c>
      <c r="AB89" s="15" t="s">
        <v>53</v>
      </c>
      <c r="AC89" s="15" t="s">
        <v>54</v>
      </c>
      <c r="AD89" s="15" t="s">
        <v>54</v>
      </c>
      <c r="AE89" s="15" t="s">
        <v>54</v>
      </c>
      <c r="AF89" s="15" t="s">
        <v>54</v>
      </c>
      <c r="AG89" s="15" t="s">
        <v>424</v>
      </c>
      <c r="AH89" s="15">
        <v>185.1</v>
      </c>
      <c r="AI89" s="15">
        <v>185.1</v>
      </c>
      <c r="AJ89" s="15">
        <v>185.1</v>
      </c>
      <c r="AK89" s="15">
        <v>185.1</v>
      </c>
      <c r="AL89" s="15">
        <v>152.19999999999999</v>
      </c>
      <c r="AM89" s="15" t="s">
        <v>55</v>
      </c>
    </row>
    <row r="90" spans="1:39" x14ac:dyDescent="0.35">
      <c r="A90" s="15">
        <v>7748</v>
      </c>
      <c r="B90" s="15" t="s">
        <v>417</v>
      </c>
      <c r="C90" s="15" t="s">
        <v>641</v>
      </c>
      <c r="D90" s="15">
        <v>96</v>
      </c>
      <c r="E90" s="15" t="s">
        <v>642</v>
      </c>
      <c r="F90" s="15" t="s">
        <v>642</v>
      </c>
      <c r="G90" s="15" t="s">
        <v>58</v>
      </c>
      <c r="H90" s="15">
        <v>69.33</v>
      </c>
      <c r="I90" s="15" t="s">
        <v>643</v>
      </c>
      <c r="J90" s="15">
        <v>69.180000000000007</v>
      </c>
      <c r="K90" s="15" t="s">
        <v>40</v>
      </c>
      <c r="L90" s="15" t="s">
        <v>41</v>
      </c>
      <c r="M90" s="15" t="s">
        <v>62</v>
      </c>
      <c r="N90" s="15" t="s">
        <v>644</v>
      </c>
      <c r="O90" s="15" t="s">
        <v>645</v>
      </c>
      <c r="P90" s="15" t="s">
        <v>95</v>
      </c>
      <c r="Q90" s="15" t="s">
        <v>95</v>
      </c>
      <c r="R90" s="15" t="s">
        <v>422</v>
      </c>
      <c r="S90" s="15" t="s">
        <v>67</v>
      </c>
      <c r="T90" s="15">
        <v>300</v>
      </c>
      <c r="U90" s="15" t="s">
        <v>55</v>
      </c>
      <c r="V90" s="15" t="s">
        <v>55</v>
      </c>
      <c r="W90" s="15" t="s">
        <v>55</v>
      </c>
      <c r="X90" s="15" t="s">
        <v>168</v>
      </c>
      <c r="Y90" s="15"/>
      <c r="Z90" s="15"/>
      <c r="AA90" s="15" t="s">
        <v>53</v>
      </c>
      <c r="AB90" s="15" t="s">
        <v>53</v>
      </c>
      <c r="AC90" s="15" t="s">
        <v>54</v>
      </c>
      <c r="AD90" s="15" t="s">
        <v>54</v>
      </c>
      <c r="AE90" s="15" t="s">
        <v>54</v>
      </c>
      <c r="AF90" s="15" t="s">
        <v>54</v>
      </c>
      <c r="AG90" s="15" t="s">
        <v>424</v>
      </c>
      <c r="AH90" s="15">
        <v>52.2</v>
      </c>
      <c r="AI90" s="15">
        <v>52.2</v>
      </c>
      <c r="AJ90" s="15">
        <v>52.2</v>
      </c>
      <c r="AK90" s="15">
        <v>52.2</v>
      </c>
      <c r="AL90" s="15">
        <v>7.6</v>
      </c>
      <c r="AM90" s="15" t="s">
        <v>55</v>
      </c>
    </row>
    <row r="91" spans="1:39" x14ac:dyDescent="0.35">
      <c r="A91" s="15">
        <v>9925</v>
      </c>
      <c r="B91" s="15" t="s">
        <v>417</v>
      </c>
      <c r="C91" s="15" t="s">
        <v>646</v>
      </c>
      <c r="D91" s="15">
        <v>96</v>
      </c>
      <c r="E91" s="15" t="s">
        <v>647</v>
      </c>
      <c r="F91" s="15" t="s">
        <v>647</v>
      </c>
      <c r="G91" s="15" t="s">
        <v>58</v>
      </c>
      <c r="H91" s="15">
        <v>146.34</v>
      </c>
      <c r="I91" s="15" t="s">
        <v>648</v>
      </c>
      <c r="J91" s="15">
        <v>146.25</v>
      </c>
      <c r="K91" s="15" t="s">
        <v>40</v>
      </c>
      <c r="L91" s="15" t="s">
        <v>41</v>
      </c>
      <c r="M91" s="15" t="s">
        <v>62</v>
      </c>
      <c r="N91" s="15" t="s">
        <v>649</v>
      </c>
      <c r="O91" s="15" t="s">
        <v>650</v>
      </c>
      <c r="P91" s="15" t="s">
        <v>95</v>
      </c>
      <c r="Q91" s="15" t="s">
        <v>95</v>
      </c>
      <c r="R91" s="15" t="s">
        <v>422</v>
      </c>
      <c r="S91" s="15" t="s">
        <v>67</v>
      </c>
      <c r="T91" s="15">
        <v>362</v>
      </c>
      <c r="U91" s="15" t="s">
        <v>651</v>
      </c>
      <c r="V91" s="15" t="s">
        <v>55</v>
      </c>
      <c r="W91" s="15" t="s">
        <v>55</v>
      </c>
      <c r="X91" s="15" t="s">
        <v>168</v>
      </c>
      <c r="Y91" s="15">
        <v>219</v>
      </c>
      <c r="Z91" s="15">
        <v>362</v>
      </c>
      <c r="AA91" s="15" t="s">
        <v>53</v>
      </c>
      <c r="AB91" s="15" t="s">
        <v>53</v>
      </c>
      <c r="AC91" s="15" t="s">
        <v>54</v>
      </c>
      <c r="AD91" s="15" t="s">
        <v>54</v>
      </c>
      <c r="AE91" s="15" t="s">
        <v>54</v>
      </c>
      <c r="AF91" s="15" t="s">
        <v>54</v>
      </c>
      <c r="AG91" s="15" t="s">
        <v>424</v>
      </c>
      <c r="AH91" s="15">
        <v>135.80000000000001</v>
      </c>
      <c r="AI91" s="15">
        <v>135.80000000000001</v>
      </c>
      <c r="AJ91" s="15">
        <v>135.80000000000001</v>
      </c>
      <c r="AK91" s="15">
        <v>135.80000000000001</v>
      </c>
      <c r="AL91" s="15">
        <v>82.9</v>
      </c>
      <c r="AM91" s="15" t="s">
        <v>55</v>
      </c>
    </row>
    <row r="92" spans="1:39" x14ac:dyDescent="0.35">
      <c r="A92" s="15">
        <v>29114</v>
      </c>
      <c r="B92" s="15" t="s">
        <v>417</v>
      </c>
      <c r="C92" s="15" t="s">
        <v>652</v>
      </c>
      <c r="D92" s="15">
        <v>96</v>
      </c>
      <c r="E92" s="15" t="s">
        <v>653</v>
      </c>
      <c r="F92" s="15" t="s">
        <v>653</v>
      </c>
      <c r="G92" s="15" t="s">
        <v>58</v>
      </c>
      <c r="H92" s="15">
        <v>114.81</v>
      </c>
      <c r="I92" s="15" t="s">
        <v>654</v>
      </c>
      <c r="J92" s="15">
        <v>113.76</v>
      </c>
      <c r="K92" s="15" t="s">
        <v>40</v>
      </c>
      <c r="L92" s="15" t="s">
        <v>41</v>
      </c>
      <c r="M92" s="15" t="s">
        <v>62</v>
      </c>
      <c r="N92" s="15" t="s">
        <v>655</v>
      </c>
      <c r="O92" s="15" t="s">
        <v>656</v>
      </c>
      <c r="P92" s="15" t="s">
        <v>95</v>
      </c>
      <c r="Q92" s="15" t="s">
        <v>95</v>
      </c>
      <c r="R92" s="15" t="s">
        <v>422</v>
      </c>
      <c r="S92" s="15" t="s">
        <v>67</v>
      </c>
      <c r="T92" s="15">
        <v>401</v>
      </c>
      <c r="U92" s="15" t="s">
        <v>55</v>
      </c>
      <c r="V92" s="15" t="s">
        <v>55</v>
      </c>
      <c r="W92" s="15" t="s">
        <v>55</v>
      </c>
      <c r="X92" s="15" t="s">
        <v>168</v>
      </c>
      <c r="Y92" s="15"/>
      <c r="Z92" s="15"/>
      <c r="AA92" s="15" t="s">
        <v>53</v>
      </c>
      <c r="AB92" s="15" t="s">
        <v>53</v>
      </c>
      <c r="AC92" s="15" t="s">
        <v>54</v>
      </c>
      <c r="AD92" s="15" t="s">
        <v>54</v>
      </c>
      <c r="AE92" s="15" t="s">
        <v>54</v>
      </c>
      <c r="AF92" s="15" t="s">
        <v>54</v>
      </c>
      <c r="AG92" s="15" t="s">
        <v>424</v>
      </c>
      <c r="AH92" s="15">
        <v>104.8</v>
      </c>
      <c r="AI92" s="15">
        <v>104.8</v>
      </c>
      <c r="AJ92" s="15">
        <v>104.8</v>
      </c>
      <c r="AK92" s="15">
        <v>104.8</v>
      </c>
      <c r="AL92" s="15">
        <v>67.099999999999994</v>
      </c>
      <c r="AM92" s="15" t="s">
        <v>55</v>
      </c>
    </row>
    <row r="93" spans="1:39" x14ac:dyDescent="0.35">
      <c r="A93" s="15">
        <v>7978</v>
      </c>
      <c r="B93" s="15" t="s">
        <v>417</v>
      </c>
      <c r="C93" s="15" t="s">
        <v>657</v>
      </c>
      <c r="D93" s="15">
        <v>96</v>
      </c>
      <c r="E93" s="15" t="s">
        <v>658</v>
      </c>
      <c r="F93" s="15" t="s">
        <v>658</v>
      </c>
      <c r="G93" s="15" t="s">
        <v>58</v>
      </c>
      <c r="H93" s="15">
        <v>38.99</v>
      </c>
      <c r="I93" s="15" t="s">
        <v>659</v>
      </c>
      <c r="J93" s="15">
        <v>38.11</v>
      </c>
      <c r="K93" s="15" t="s">
        <v>40</v>
      </c>
      <c r="L93" s="15" t="s">
        <v>41</v>
      </c>
      <c r="M93" s="15" t="s">
        <v>92</v>
      </c>
      <c r="N93" s="15" t="s">
        <v>660</v>
      </c>
      <c r="O93" s="15" t="s">
        <v>661</v>
      </c>
      <c r="P93" s="15" t="s">
        <v>95</v>
      </c>
      <c r="Q93" s="15" t="s">
        <v>95</v>
      </c>
      <c r="R93" s="15" t="s">
        <v>422</v>
      </c>
      <c r="S93" s="15" t="s">
        <v>67</v>
      </c>
      <c r="T93" s="15">
        <v>317</v>
      </c>
      <c r="U93" s="15" t="s">
        <v>55</v>
      </c>
      <c r="V93" s="15" t="s">
        <v>55</v>
      </c>
      <c r="W93" s="15" t="s">
        <v>55</v>
      </c>
      <c r="X93" s="15" t="s">
        <v>168</v>
      </c>
      <c r="Y93" s="15"/>
      <c r="Z93" s="15"/>
      <c r="AA93" s="15" t="s">
        <v>53</v>
      </c>
      <c r="AB93" s="15" t="s">
        <v>53</v>
      </c>
      <c r="AC93" s="15" t="s">
        <v>54</v>
      </c>
      <c r="AD93" s="15" t="s">
        <v>54</v>
      </c>
      <c r="AE93" s="15" t="s">
        <v>54</v>
      </c>
      <c r="AF93" s="15" t="s">
        <v>54</v>
      </c>
      <c r="AG93" s="15" t="s">
        <v>424</v>
      </c>
      <c r="AH93" s="15">
        <v>22.9</v>
      </c>
      <c r="AI93" s="15">
        <v>22.9</v>
      </c>
      <c r="AJ93" s="15">
        <v>22.9</v>
      </c>
      <c r="AK93" s="15">
        <v>22.9</v>
      </c>
      <c r="AL93" s="15">
        <v>-24.8</v>
      </c>
      <c r="AM93" s="15" t="s">
        <v>55</v>
      </c>
    </row>
    <row r="94" spans="1:39" x14ac:dyDescent="0.35">
      <c r="A94" s="15">
        <v>38369</v>
      </c>
      <c r="B94" s="15" t="s">
        <v>417</v>
      </c>
      <c r="C94" s="15" t="s">
        <v>662</v>
      </c>
      <c r="D94" s="15">
        <v>96</v>
      </c>
      <c r="E94" s="15" t="s">
        <v>663</v>
      </c>
      <c r="F94" s="15" t="s">
        <v>664</v>
      </c>
      <c r="G94" s="15" t="s">
        <v>58</v>
      </c>
      <c r="H94" s="15">
        <v>24.25</v>
      </c>
      <c r="I94" s="15" t="s">
        <v>427</v>
      </c>
      <c r="J94" s="15">
        <v>23.71</v>
      </c>
      <c r="K94" s="15" t="s">
        <v>40</v>
      </c>
      <c r="L94" s="15" t="s">
        <v>41</v>
      </c>
      <c r="M94" s="15" t="s">
        <v>42</v>
      </c>
      <c r="N94" s="15" t="s">
        <v>665</v>
      </c>
      <c r="O94" s="15" t="s">
        <v>666</v>
      </c>
      <c r="P94" s="15" t="s">
        <v>85</v>
      </c>
      <c r="Q94" s="15" t="s">
        <v>46</v>
      </c>
      <c r="R94" s="15" t="s">
        <v>422</v>
      </c>
      <c r="S94" s="15" t="s">
        <v>48</v>
      </c>
      <c r="T94" s="15">
        <v>295</v>
      </c>
      <c r="U94" s="15" t="s">
        <v>667</v>
      </c>
      <c r="V94" s="15" t="s">
        <v>55</v>
      </c>
      <c r="W94" s="15" t="s">
        <v>55</v>
      </c>
      <c r="X94" s="15" t="s">
        <v>168</v>
      </c>
      <c r="Y94" s="15">
        <v>110</v>
      </c>
      <c r="Z94" s="15">
        <v>290</v>
      </c>
      <c r="AA94" s="15" t="s">
        <v>53</v>
      </c>
      <c r="AB94" s="15" t="s">
        <v>53</v>
      </c>
      <c r="AC94" s="15" t="s">
        <v>54</v>
      </c>
      <c r="AD94" s="15" t="s">
        <v>54</v>
      </c>
      <c r="AE94" s="15" t="s">
        <v>54</v>
      </c>
      <c r="AF94" s="15" t="s">
        <v>54</v>
      </c>
      <c r="AG94" s="15" t="s">
        <v>424</v>
      </c>
      <c r="AH94" s="15">
        <v>6.7</v>
      </c>
      <c r="AI94" s="15">
        <v>6.7</v>
      </c>
      <c r="AJ94" s="15">
        <v>6.7</v>
      </c>
      <c r="AK94" s="15">
        <v>6.7</v>
      </c>
      <c r="AL94" s="15">
        <v>-14.1</v>
      </c>
      <c r="AM94" s="15" t="s">
        <v>55</v>
      </c>
    </row>
    <row r="95" spans="1:39" x14ac:dyDescent="0.35">
      <c r="A95" s="15">
        <v>29416</v>
      </c>
      <c r="B95" s="15" t="s">
        <v>417</v>
      </c>
      <c r="C95" s="15" t="s">
        <v>668</v>
      </c>
      <c r="D95" s="15">
        <v>96</v>
      </c>
      <c r="E95" s="15" t="s">
        <v>669</v>
      </c>
      <c r="F95" s="15" t="s">
        <v>669</v>
      </c>
      <c r="G95" s="15" t="s">
        <v>58</v>
      </c>
      <c r="H95" s="15">
        <v>80.150000000000006</v>
      </c>
      <c r="I95" s="15" t="s">
        <v>670</v>
      </c>
      <c r="J95" s="15">
        <v>78.88</v>
      </c>
      <c r="K95" s="15" t="s">
        <v>40</v>
      </c>
      <c r="L95" s="15" t="s">
        <v>41</v>
      </c>
      <c r="M95" s="15" t="s">
        <v>62</v>
      </c>
      <c r="N95" s="15" t="s">
        <v>671</v>
      </c>
      <c r="O95" s="15" t="s">
        <v>672</v>
      </c>
      <c r="P95" s="15" t="s">
        <v>95</v>
      </c>
      <c r="Q95" s="15" t="s">
        <v>95</v>
      </c>
      <c r="R95" s="15" t="s">
        <v>422</v>
      </c>
      <c r="S95" s="15" t="s">
        <v>67</v>
      </c>
      <c r="T95" s="15">
        <v>174</v>
      </c>
      <c r="U95" s="15" t="s">
        <v>673</v>
      </c>
      <c r="V95" s="15" t="s">
        <v>55</v>
      </c>
      <c r="W95" s="15" t="s">
        <v>55</v>
      </c>
      <c r="X95" s="15" t="s">
        <v>168</v>
      </c>
      <c r="Y95" s="15">
        <v>99</v>
      </c>
      <c r="Z95" s="15">
        <v>174</v>
      </c>
      <c r="AA95" s="15" t="s">
        <v>53</v>
      </c>
      <c r="AB95" s="15" t="s">
        <v>53</v>
      </c>
      <c r="AC95" s="15" t="s">
        <v>54</v>
      </c>
      <c r="AD95" s="15" t="s">
        <v>54</v>
      </c>
      <c r="AE95" s="15" t="s">
        <v>54</v>
      </c>
      <c r="AF95" s="15" t="s">
        <v>54</v>
      </c>
      <c r="AG95" s="15" t="s">
        <v>424</v>
      </c>
      <c r="AH95" s="15">
        <v>71.7</v>
      </c>
      <c r="AI95" s="15">
        <v>71.7</v>
      </c>
      <c r="AJ95" s="15">
        <v>71.7</v>
      </c>
      <c r="AK95" s="15">
        <v>71.7</v>
      </c>
      <c r="AL95" s="15">
        <v>32.200000000000003</v>
      </c>
      <c r="AM95" s="15" t="s">
        <v>55</v>
      </c>
    </row>
    <row r="96" spans="1:39" x14ac:dyDescent="0.35">
      <c r="A96" s="15">
        <v>7751</v>
      </c>
      <c r="B96" s="15" t="s">
        <v>417</v>
      </c>
      <c r="C96" s="15" t="s">
        <v>674</v>
      </c>
      <c r="D96" s="15">
        <v>96</v>
      </c>
      <c r="E96" s="15" t="s">
        <v>675</v>
      </c>
      <c r="F96" s="15" t="s">
        <v>675</v>
      </c>
      <c r="G96" s="15" t="s">
        <v>58</v>
      </c>
      <c r="H96" s="15">
        <v>118.07</v>
      </c>
      <c r="I96" s="15" t="s">
        <v>648</v>
      </c>
      <c r="J96" s="15">
        <v>117.88</v>
      </c>
      <c r="K96" s="15" t="s">
        <v>40</v>
      </c>
      <c r="L96" s="15" t="s">
        <v>41</v>
      </c>
      <c r="M96" s="15" t="s">
        <v>62</v>
      </c>
      <c r="N96" s="15" t="s">
        <v>676</v>
      </c>
      <c r="O96" s="15" t="s">
        <v>677</v>
      </c>
      <c r="P96" s="15" t="s">
        <v>85</v>
      </c>
      <c r="Q96" s="15" t="s">
        <v>46</v>
      </c>
      <c r="R96" s="15" t="s">
        <v>422</v>
      </c>
      <c r="S96" s="15" t="s">
        <v>67</v>
      </c>
      <c r="T96" s="15">
        <v>52</v>
      </c>
      <c r="U96" s="15" t="s">
        <v>55</v>
      </c>
      <c r="V96" s="15" t="s">
        <v>55</v>
      </c>
      <c r="W96" s="15" t="s">
        <v>55</v>
      </c>
      <c r="X96" s="15" t="s">
        <v>168</v>
      </c>
      <c r="Y96" s="15"/>
      <c r="Z96" s="15"/>
      <c r="AA96" s="15" t="s">
        <v>53</v>
      </c>
      <c r="AB96" s="15" t="s">
        <v>53</v>
      </c>
      <c r="AC96" s="15" t="s">
        <v>54</v>
      </c>
      <c r="AD96" s="15" t="s">
        <v>54</v>
      </c>
      <c r="AE96" s="15" t="s">
        <v>54</v>
      </c>
      <c r="AF96" s="15" t="s">
        <v>54</v>
      </c>
      <c r="AG96" s="15" t="s">
        <v>424</v>
      </c>
      <c r="AH96" s="15">
        <v>104.6</v>
      </c>
      <c r="AI96" s="15">
        <v>104.6</v>
      </c>
      <c r="AJ96" s="15">
        <v>104.6</v>
      </c>
      <c r="AK96" s="15">
        <v>104.6</v>
      </c>
      <c r="AL96" s="15">
        <v>68.3</v>
      </c>
      <c r="AM96" s="15" t="s">
        <v>55</v>
      </c>
    </row>
    <row r="97" spans="1:39" x14ac:dyDescent="0.35">
      <c r="A97" s="15">
        <v>8360</v>
      </c>
      <c r="B97" s="15" t="s">
        <v>417</v>
      </c>
      <c r="C97" s="15" t="s">
        <v>678</v>
      </c>
      <c r="D97" s="15">
        <v>96</v>
      </c>
      <c r="E97" s="15" t="s">
        <v>679</v>
      </c>
      <c r="F97" s="15" t="s">
        <v>679</v>
      </c>
      <c r="G97" s="15" t="s">
        <v>58</v>
      </c>
      <c r="H97" s="15">
        <v>60.98</v>
      </c>
      <c r="I97" s="15" t="s">
        <v>520</v>
      </c>
      <c r="J97" s="15">
        <v>60.68</v>
      </c>
      <c r="K97" s="15" t="s">
        <v>40</v>
      </c>
      <c r="L97" s="15" t="s">
        <v>41</v>
      </c>
      <c r="M97" s="15" t="s">
        <v>62</v>
      </c>
      <c r="N97" s="15" t="s">
        <v>680</v>
      </c>
      <c r="O97" s="15" t="s">
        <v>681</v>
      </c>
      <c r="P97" s="15" t="s">
        <v>85</v>
      </c>
      <c r="Q97" s="15" t="s">
        <v>46</v>
      </c>
      <c r="R97" s="15" t="s">
        <v>422</v>
      </c>
      <c r="S97" s="15" t="s">
        <v>67</v>
      </c>
      <c r="T97" s="15">
        <v>358</v>
      </c>
      <c r="U97" s="15" t="s">
        <v>682</v>
      </c>
      <c r="V97" s="15" t="s">
        <v>55</v>
      </c>
      <c r="W97" s="15" t="s">
        <v>55</v>
      </c>
      <c r="X97" s="15" t="s">
        <v>168</v>
      </c>
      <c r="Y97" s="15">
        <v>132</v>
      </c>
      <c r="Z97" s="15">
        <v>358</v>
      </c>
      <c r="AA97" s="15" t="s">
        <v>53</v>
      </c>
      <c r="AB97" s="15" t="s">
        <v>53</v>
      </c>
      <c r="AC97" s="15" t="s">
        <v>54</v>
      </c>
      <c r="AD97" s="15" t="s">
        <v>54</v>
      </c>
      <c r="AE97" s="15" t="s">
        <v>54</v>
      </c>
      <c r="AF97" s="15" t="s">
        <v>54</v>
      </c>
      <c r="AG97" s="15" t="s">
        <v>424</v>
      </c>
      <c r="AH97" s="15">
        <v>29.1</v>
      </c>
      <c r="AI97" s="15">
        <v>29.1</v>
      </c>
      <c r="AJ97" s="15">
        <v>29.1</v>
      </c>
      <c r="AK97" s="15">
        <v>29.1</v>
      </c>
      <c r="AL97" s="15">
        <v>-7</v>
      </c>
      <c r="AM97" s="15" t="s">
        <v>55</v>
      </c>
    </row>
    <row r="98" spans="1:39" x14ac:dyDescent="0.35">
      <c r="A98" s="15">
        <v>7616</v>
      </c>
      <c r="B98" s="15" t="s">
        <v>417</v>
      </c>
      <c r="C98" s="15" t="s">
        <v>683</v>
      </c>
      <c r="D98" s="15">
        <v>96</v>
      </c>
      <c r="E98" s="15" t="s">
        <v>684</v>
      </c>
      <c r="F98" s="15" t="s">
        <v>684</v>
      </c>
      <c r="G98" s="15" t="s">
        <v>58</v>
      </c>
      <c r="H98" s="15">
        <v>168.18</v>
      </c>
      <c r="I98" s="15" t="s">
        <v>685</v>
      </c>
      <c r="J98" s="15">
        <v>166.63</v>
      </c>
      <c r="K98" s="15" t="s">
        <v>40</v>
      </c>
      <c r="L98" s="15" t="s">
        <v>41</v>
      </c>
      <c r="M98" s="15" t="s">
        <v>62</v>
      </c>
      <c r="N98" s="15" t="s">
        <v>686</v>
      </c>
      <c r="O98" s="15" t="s">
        <v>687</v>
      </c>
      <c r="P98" s="15" t="s">
        <v>85</v>
      </c>
      <c r="Q98" s="15" t="s">
        <v>46</v>
      </c>
      <c r="R98" s="15" t="s">
        <v>422</v>
      </c>
      <c r="S98" s="15" t="s">
        <v>67</v>
      </c>
      <c r="T98" s="15">
        <v>386</v>
      </c>
      <c r="U98" s="15" t="s">
        <v>688</v>
      </c>
      <c r="V98" s="15" t="s">
        <v>55</v>
      </c>
      <c r="W98" s="15" t="s">
        <v>55</v>
      </c>
      <c r="X98" s="15" t="s">
        <v>168</v>
      </c>
      <c r="Y98" s="15"/>
      <c r="Z98" s="15"/>
      <c r="AA98" s="15" t="s">
        <v>53</v>
      </c>
      <c r="AB98" s="15" t="s">
        <v>53</v>
      </c>
      <c r="AC98" s="15" t="s">
        <v>54</v>
      </c>
      <c r="AD98" s="15" t="s">
        <v>54</v>
      </c>
      <c r="AE98" s="15" t="s">
        <v>54</v>
      </c>
      <c r="AF98" s="15" t="s">
        <v>54</v>
      </c>
      <c r="AG98" s="15" t="s">
        <v>424</v>
      </c>
      <c r="AH98" s="15">
        <v>110.9</v>
      </c>
      <c r="AI98" s="15">
        <v>110.9</v>
      </c>
      <c r="AJ98" s="15">
        <v>110.9</v>
      </c>
      <c r="AK98" s="15">
        <v>110.9</v>
      </c>
      <c r="AL98" s="15">
        <v>40.299999999999997</v>
      </c>
      <c r="AM98" s="15" t="s">
        <v>55</v>
      </c>
    </row>
    <row r="99" spans="1:39" x14ac:dyDescent="0.35">
      <c r="A99" s="15">
        <v>30536</v>
      </c>
      <c r="B99" s="15" t="s">
        <v>417</v>
      </c>
      <c r="C99" s="15" t="s">
        <v>689</v>
      </c>
      <c r="D99" s="15">
        <v>96</v>
      </c>
      <c r="E99" s="15" t="s">
        <v>690</v>
      </c>
      <c r="F99" s="15" t="s">
        <v>690</v>
      </c>
      <c r="G99" s="15" t="s">
        <v>58</v>
      </c>
      <c r="H99" s="15">
        <v>107.54</v>
      </c>
      <c r="I99" s="15" t="s">
        <v>82</v>
      </c>
      <c r="J99" s="15">
        <v>107.2</v>
      </c>
      <c r="K99" s="15" t="s">
        <v>40</v>
      </c>
      <c r="L99" s="15" t="s">
        <v>41</v>
      </c>
      <c r="M99" s="15" t="s">
        <v>62</v>
      </c>
      <c r="N99" s="15" t="s">
        <v>691</v>
      </c>
      <c r="O99" s="15" t="s">
        <v>692</v>
      </c>
      <c r="P99" s="15" t="s">
        <v>85</v>
      </c>
      <c r="Q99" s="15" t="s">
        <v>46</v>
      </c>
      <c r="R99" s="15" t="s">
        <v>422</v>
      </c>
      <c r="S99" s="15" t="s">
        <v>67</v>
      </c>
      <c r="T99" s="15">
        <v>143</v>
      </c>
      <c r="U99" s="15" t="s">
        <v>693</v>
      </c>
      <c r="V99" s="15" t="s">
        <v>55</v>
      </c>
      <c r="W99" s="15" t="s">
        <v>55</v>
      </c>
      <c r="X99" s="15" t="s">
        <v>168</v>
      </c>
      <c r="Y99" s="15">
        <v>119</v>
      </c>
      <c r="Z99" s="15">
        <v>143</v>
      </c>
      <c r="AA99" s="15" t="s">
        <v>53</v>
      </c>
      <c r="AB99" s="15" t="s">
        <v>53</v>
      </c>
      <c r="AC99" s="15" t="s">
        <v>54</v>
      </c>
      <c r="AD99" s="15" t="s">
        <v>54</v>
      </c>
      <c r="AE99" s="15" t="s">
        <v>54</v>
      </c>
      <c r="AF99" s="15" t="s">
        <v>54</v>
      </c>
      <c r="AG99" s="15" t="s">
        <v>424</v>
      </c>
      <c r="AH99" s="15">
        <v>82.3</v>
      </c>
      <c r="AI99" s="15">
        <v>82.3</v>
      </c>
      <c r="AJ99" s="15">
        <v>82.3</v>
      </c>
      <c r="AK99" s="15">
        <v>82.3</v>
      </c>
      <c r="AL99" s="15">
        <v>16.5</v>
      </c>
      <c r="AM99" s="15" t="s">
        <v>55</v>
      </c>
    </row>
    <row r="100" spans="1:39" x14ac:dyDescent="0.35">
      <c r="A100" s="15">
        <v>29236</v>
      </c>
      <c r="B100" s="15" t="s">
        <v>417</v>
      </c>
      <c r="C100" s="15" t="s">
        <v>694</v>
      </c>
      <c r="D100" s="15">
        <v>96</v>
      </c>
      <c r="E100" s="15" t="s">
        <v>695</v>
      </c>
      <c r="F100" s="15" t="s">
        <v>695</v>
      </c>
      <c r="G100" s="15" t="s">
        <v>58</v>
      </c>
      <c r="H100" s="15">
        <v>117.66</v>
      </c>
      <c r="I100" s="15" t="s">
        <v>654</v>
      </c>
      <c r="J100" s="15">
        <v>117.49</v>
      </c>
      <c r="K100" s="15" t="s">
        <v>40</v>
      </c>
      <c r="L100" s="15" t="s">
        <v>41</v>
      </c>
      <c r="M100" s="15" t="s">
        <v>62</v>
      </c>
      <c r="N100" s="15" t="s">
        <v>696</v>
      </c>
      <c r="O100" s="15" t="s">
        <v>697</v>
      </c>
      <c r="P100" s="15" t="s">
        <v>85</v>
      </c>
      <c r="Q100" s="15" t="s">
        <v>46</v>
      </c>
      <c r="R100" s="15" t="s">
        <v>422</v>
      </c>
      <c r="S100" s="15" t="s">
        <v>67</v>
      </c>
      <c r="T100" s="15">
        <v>127</v>
      </c>
      <c r="U100" s="15" t="s">
        <v>55</v>
      </c>
      <c r="V100" s="15" t="s">
        <v>55</v>
      </c>
      <c r="W100" s="15" t="s">
        <v>55</v>
      </c>
      <c r="X100" s="15" t="s">
        <v>168</v>
      </c>
      <c r="Y100" s="15"/>
      <c r="Z100" s="15"/>
      <c r="AA100" s="15" t="s">
        <v>53</v>
      </c>
      <c r="AB100" s="15" t="s">
        <v>53</v>
      </c>
      <c r="AC100" s="15" t="s">
        <v>54</v>
      </c>
      <c r="AD100" s="15" t="s">
        <v>54</v>
      </c>
      <c r="AE100" s="15" t="s">
        <v>54</v>
      </c>
      <c r="AF100" s="15" t="s">
        <v>54</v>
      </c>
      <c r="AG100" s="15" t="s">
        <v>424</v>
      </c>
      <c r="AH100" s="15">
        <v>80</v>
      </c>
      <c r="AI100" s="15">
        <v>80</v>
      </c>
      <c r="AJ100" s="15">
        <v>80</v>
      </c>
      <c r="AK100" s="15">
        <v>80</v>
      </c>
      <c r="AL100" s="15">
        <v>47.8</v>
      </c>
      <c r="AM100" s="15" t="s">
        <v>55</v>
      </c>
    </row>
    <row r="101" spans="1:39" x14ac:dyDescent="0.35">
      <c r="A101" s="15">
        <v>28090</v>
      </c>
      <c r="B101" s="15" t="s">
        <v>417</v>
      </c>
      <c r="C101" s="15" t="s">
        <v>698</v>
      </c>
      <c r="D101" s="15">
        <v>96</v>
      </c>
      <c r="E101" s="15" t="s">
        <v>699</v>
      </c>
      <c r="F101" s="15" t="s">
        <v>699</v>
      </c>
      <c r="G101" s="15" t="s">
        <v>58</v>
      </c>
      <c r="H101" s="15">
        <v>152.62</v>
      </c>
      <c r="I101" s="15" t="s">
        <v>82</v>
      </c>
      <c r="J101" s="15">
        <v>152.4</v>
      </c>
      <c r="K101" s="15" t="s">
        <v>40</v>
      </c>
      <c r="L101" s="15" t="s">
        <v>41</v>
      </c>
      <c r="M101" s="15" t="s">
        <v>92</v>
      </c>
      <c r="N101" s="15" t="s">
        <v>700</v>
      </c>
      <c r="O101" s="15" t="s">
        <v>701</v>
      </c>
      <c r="P101" s="15" t="s">
        <v>85</v>
      </c>
      <c r="Q101" s="15" t="s">
        <v>46</v>
      </c>
      <c r="R101" s="15" t="s">
        <v>422</v>
      </c>
      <c r="S101" s="15" t="s">
        <v>67</v>
      </c>
      <c r="T101" s="15">
        <v>300</v>
      </c>
      <c r="U101" s="15" t="s">
        <v>55</v>
      </c>
      <c r="V101" s="15" t="s">
        <v>55</v>
      </c>
      <c r="W101" s="15" t="s">
        <v>55</v>
      </c>
      <c r="X101" s="15" t="s">
        <v>168</v>
      </c>
      <c r="Y101" s="15"/>
      <c r="Z101" s="15"/>
      <c r="AA101" s="15" t="s">
        <v>53</v>
      </c>
      <c r="AB101" s="15" t="s">
        <v>53</v>
      </c>
      <c r="AC101" s="15" t="s">
        <v>54</v>
      </c>
      <c r="AD101" s="15" t="s">
        <v>54</v>
      </c>
      <c r="AE101" s="15" t="s">
        <v>54</v>
      </c>
      <c r="AF101" s="15" t="s">
        <v>53</v>
      </c>
      <c r="AG101" s="15" t="s">
        <v>424</v>
      </c>
      <c r="AH101" s="15">
        <v>72.8</v>
      </c>
      <c r="AI101" s="15">
        <v>72.8</v>
      </c>
      <c r="AJ101" s="15">
        <v>72.8</v>
      </c>
      <c r="AK101" s="15">
        <v>72.8</v>
      </c>
      <c r="AL101" s="15">
        <v>36.4</v>
      </c>
      <c r="AM101" s="15" t="s">
        <v>55</v>
      </c>
    </row>
    <row r="102" spans="1:39" x14ac:dyDescent="0.35">
      <c r="A102" s="15">
        <v>11059</v>
      </c>
      <c r="B102" s="15" t="s">
        <v>417</v>
      </c>
      <c r="C102" s="15" t="s">
        <v>702</v>
      </c>
      <c r="D102" s="15">
        <v>96</v>
      </c>
      <c r="E102" s="15" t="s">
        <v>703</v>
      </c>
      <c r="F102" s="15" t="s">
        <v>703</v>
      </c>
      <c r="G102" s="15" t="s">
        <v>58</v>
      </c>
      <c r="H102" s="15">
        <v>188.79</v>
      </c>
      <c r="I102" s="15" t="s">
        <v>82</v>
      </c>
      <c r="J102" s="15">
        <v>188.79</v>
      </c>
      <c r="K102" s="15" t="s">
        <v>95</v>
      </c>
      <c r="L102" s="15" t="s">
        <v>95</v>
      </c>
      <c r="M102" s="15" t="s">
        <v>62</v>
      </c>
      <c r="N102" s="15" t="s">
        <v>704</v>
      </c>
      <c r="O102" s="15" t="s">
        <v>705</v>
      </c>
      <c r="P102" s="15" t="s">
        <v>95</v>
      </c>
      <c r="Q102" s="15" t="s">
        <v>95</v>
      </c>
      <c r="R102" s="15" t="s">
        <v>422</v>
      </c>
      <c r="S102" s="15" t="s">
        <v>67</v>
      </c>
      <c r="T102" s="15">
        <v>188</v>
      </c>
      <c r="U102" s="15" t="s">
        <v>55</v>
      </c>
      <c r="V102" s="15" t="s">
        <v>55</v>
      </c>
      <c r="W102" s="15" t="s">
        <v>55</v>
      </c>
      <c r="X102" s="15" t="s">
        <v>168</v>
      </c>
      <c r="Y102" s="15"/>
      <c r="Z102" s="15"/>
      <c r="AA102" s="15" t="s">
        <v>53</v>
      </c>
      <c r="AB102" s="15" t="s">
        <v>53</v>
      </c>
      <c r="AC102" s="15" t="s">
        <v>54</v>
      </c>
      <c r="AD102" s="15" t="s">
        <v>54</v>
      </c>
      <c r="AE102" s="15" t="s">
        <v>54</v>
      </c>
      <c r="AF102" s="15" t="s">
        <v>54</v>
      </c>
      <c r="AG102" s="15" t="s">
        <v>424</v>
      </c>
      <c r="AH102" s="15">
        <v>169.9</v>
      </c>
      <c r="AI102" s="15">
        <v>169.9</v>
      </c>
      <c r="AJ102" s="15">
        <v>169.9</v>
      </c>
      <c r="AK102" s="15">
        <v>169.9</v>
      </c>
      <c r="AL102" s="15">
        <v>144.5</v>
      </c>
      <c r="AM102" s="15" t="s">
        <v>55</v>
      </c>
    </row>
    <row r="103" spans="1:39" x14ac:dyDescent="0.35">
      <c r="A103" s="15">
        <v>12527</v>
      </c>
      <c r="B103" s="15" t="s">
        <v>417</v>
      </c>
      <c r="C103" s="15" t="s">
        <v>706</v>
      </c>
      <c r="D103" s="15">
        <v>96</v>
      </c>
      <c r="E103" s="15" t="s">
        <v>707</v>
      </c>
      <c r="F103" s="15" t="s">
        <v>707</v>
      </c>
      <c r="G103" s="15" t="s">
        <v>58</v>
      </c>
      <c r="H103" s="15">
        <v>28.53</v>
      </c>
      <c r="I103" s="15" t="s">
        <v>82</v>
      </c>
      <c r="J103" s="15">
        <v>27.53</v>
      </c>
      <c r="K103" s="15" t="s">
        <v>95</v>
      </c>
      <c r="L103" s="15" t="s">
        <v>95</v>
      </c>
      <c r="M103" s="15" t="s">
        <v>62</v>
      </c>
      <c r="N103" s="15" t="s">
        <v>708</v>
      </c>
      <c r="O103" s="15" t="s">
        <v>709</v>
      </c>
      <c r="P103" s="15" t="s">
        <v>95</v>
      </c>
      <c r="Q103" s="15" t="s">
        <v>95</v>
      </c>
      <c r="R103" s="15" t="s">
        <v>422</v>
      </c>
      <c r="S103" s="15" t="s">
        <v>67</v>
      </c>
      <c r="T103" s="15">
        <v>420</v>
      </c>
      <c r="U103" s="15" t="s">
        <v>710</v>
      </c>
      <c r="V103" s="15" t="s">
        <v>55</v>
      </c>
      <c r="W103" s="15" t="s">
        <v>55</v>
      </c>
      <c r="X103" s="15" t="s">
        <v>168</v>
      </c>
      <c r="Y103" s="15">
        <v>164</v>
      </c>
      <c r="Z103" s="15">
        <v>420</v>
      </c>
      <c r="AA103" s="15" t="s">
        <v>53</v>
      </c>
      <c r="AB103" s="15" t="s">
        <v>53</v>
      </c>
      <c r="AC103" s="15" t="s">
        <v>54</v>
      </c>
      <c r="AD103" s="15" t="s">
        <v>54</v>
      </c>
      <c r="AE103" s="15" t="s">
        <v>54</v>
      </c>
      <c r="AF103" s="15" t="s">
        <v>54</v>
      </c>
      <c r="AG103" s="15" t="s">
        <v>424</v>
      </c>
      <c r="AH103" s="15">
        <v>-1.9</v>
      </c>
      <c r="AI103" s="15">
        <v>-1.9</v>
      </c>
      <c r="AJ103" s="15">
        <v>-1.9</v>
      </c>
      <c r="AK103" s="15">
        <v>-1.9</v>
      </c>
      <c r="AL103" s="15">
        <v>-71.8</v>
      </c>
      <c r="AM103" s="15" t="s">
        <v>55</v>
      </c>
    </row>
    <row r="104" spans="1:39" x14ac:dyDescent="0.35">
      <c r="A104" s="15">
        <v>40009</v>
      </c>
      <c r="B104" s="15" t="s">
        <v>417</v>
      </c>
      <c r="C104" s="15" t="s">
        <v>711</v>
      </c>
      <c r="D104" s="15">
        <v>96</v>
      </c>
      <c r="E104" s="15" t="s">
        <v>712</v>
      </c>
      <c r="F104" s="15" t="s">
        <v>712</v>
      </c>
      <c r="G104" s="15" t="s">
        <v>58</v>
      </c>
      <c r="H104" s="15">
        <v>20.6</v>
      </c>
      <c r="I104" s="15" t="s">
        <v>427</v>
      </c>
      <c r="J104" s="15">
        <v>17.5</v>
      </c>
      <c r="K104" s="15" t="s">
        <v>95</v>
      </c>
      <c r="L104" s="15" t="s">
        <v>95</v>
      </c>
      <c r="M104" s="15" t="s">
        <v>62</v>
      </c>
      <c r="N104" s="15" t="s">
        <v>713</v>
      </c>
      <c r="O104" s="15" t="s">
        <v>714</v>
      </c>
      <c r="P104" s="15" t="s">
        <v>95</v>
      </c>
      <c r="Q104" s="15" t="s">
        <v>95</v>
      </c>
      <c r="R104" s="15" t="s">
        <v>422</v>
      </c>
      <c r="S104" s="15" t="s">
        <v>67</v>
      </c>
      <c r="T104" s="15">
        <v>91</v>
      </c>
      <c r="U104" s="15" t="s">
        <v>55</v>
      </c>
      <c r="V104" s="15" t="s">
        <v>55</v>
      </c>
      <c r="W104" s="15" t="s">
        <v>715</v>
      </c>
      <c r="X104" s="15" t="s">
        <v>168</v>
      </c>
      <c r="Y104" s="15"/>
      <c r="Z104" s="15"/>
      <c r="AA104" s="15" t="s">
        <v>53</v>
      </c>
      <c r="AB104" s="15" t="s">
        <v>53</v>
      </c>
      <c r="AC104" s="15" t="s">
        <v>54</v>
      </c>
      <c r="AD104" s="15" t="s">
        <v>54</v>
      </c>
      <c r="AE104" s="15" t="s">
        <v>54</v>
      </c>
      <c r="AF104" s="15" t="s">
        <v>54</v>
      </c>
      <c r="AG104" s="15" t="s">
        <v>424</v>
      </c>
      <c r="AH104" s="15">
        <v>9.9</v>
      </c>
      <c r="AI104" s="15">
        <v>9.9</v>
      </c>
      <c r="AJ104" s="15">
        <v>9.9</v>
      </c>
      <c r="AK104" s="15">
        <v>9.9</v>
      </c>
      <c r="AL104" s="15">
        <v>-10.8</v>
      </c>
      <c r="AM104" s="15" t="s">
        <v>55</v>
      </c>
    </row>
    <row r="105" spans="1:39" x14ac:dyDescent="0.35">
      <c r="A105" s="15">
        <v>25373</v>
      </c>
      <c r="B105" s="15" t="s">
        <v>417</v>
      </c>
      <c r="C105" s="15" t="s">
        <v>716</v>
      </c>
      <c r="D105" s="15">
        <v>96</v>
      </c>
      <c r="E105" s="15" t="s">
        <v>717</v>
      </c>
      <c r="F105" s="15" t="s">
        <v>718</v>
      </c>
      <c r="G105" s="15" t="s">
        <v>58</v>
      </c>
      <c r="H105" s="15">
        <v>24.76</v>
      </c>
      <c r="I105" s="15" t="s">
        <v>82</v>
      </c>
      <c r="J105" s="15">
        <v>23.88</v>
      </c>
      <c r="K105" s="15" t="s">
        <v>95</v>
      </c>
      <c r="L105" s="15" t="s">
        <v>95</v>
      </c>
      <c r="M105" s="15" t="s">
        <v>42</v>
      </c>
      <c r="N105" s="15" t="s">
        <v>719</v>
      </c>
      <c r="O105" s="15" t="s">
        <v>720</v>
      </c>
      <c r="P105" s="15" t="s">
        <v>95</v>
      </c>
      <c r="Q105" s="15" t="s">
        <v>95</v>
      </c>
      <c r="R105" s="15" t="s">
        <v>422</v>
      </c>
      <c r="S105" s="15" t="s">
        <v>48</v>
      </c>
      <c r="T105" s="15">
        <v>285</v>
      </c>
      <c r="U105" s="15" t="s">
        <v>721</v>
      </c>
      <c r="V105" s="15" t="s">
        <v>55</v>
      </c>
      <c r="W105" s="15" t="s">
        <v>55</v>
      </c>
      <c r="X105" s="15" t="s">
        <v>168</v>
      </c>
      <c r="Y105" s="15">
        <v>140</v>
      </c>
      <c r="Z105" s="15">
        <v>280</v>
      </c>
      <c r="AA105" s="15" t="s">
        <v>53</v>
      </c>
      <c r="AB105" s="15" t="s">
        <v>53</v>
      </c>
      <c r="AC105" s="15" t="s">
        <v>54</v>
      </c>
      <c r="AD105" s="15" t="s">
        <v>54</v>
      </c>
      <c r="AE105" s="15" t="s">
        <v>54</v>
      </c>
      <c r="AF105" s="15" t="s">
        <v>54</v>
      </c>
      <c r="AG105" s="15" t="s">
        <v>424</v>
      </c>
      <c r="AH105" s="15">
        <v>3.8</v>
      </c>
      <c r="AI105" s="15">
        <v>3.8</v>
      </c>
      <c r="AJ105" s="15">
        <v>3.8</v>
      </c>
      <c r="AK105" s="15">
        <v>3.8</v>
      </c>
      <c r="AL105" s="15">
        <v>-73.3</v>
      </c>
      <c r="AM105" s="15" t="s">
        <v>55</v>
      </c>
    </row>
    <row r="106" spans="1:39" x14ac:dyDescent="0.35">
      <c r="A106" s="15">
        <v>25011</v>
      </c>
      <c r="B106" s="15" t="s">
        <v>417</v>
      </c>
      <c r="C106" s="15" t="s">
        <v>722</v>
      </c>
      <c r="D106" s="15">
        <v>96</v>
      </c>
      <c r="E106" s="15" t="s">
        <v>723</v>
      </c>
      <c r="F106" s="15" t="s">
        <v>724</v>
      </c>
      <c r="G106" s="15" t="s">
        <v>58</v>
      </c>
      <c r="H106" s="15">
        <v>30.15</v>
      </c>
      <c r="I106" s="15" t="s">
        <v>82</v>
      </c>
      <c r="J106" s="15">
        <v>28.52</v>
      </c>
      <c r="K106" s="15" t="s">
        <v>95</v>
      </c>
      <c r="L106" s="15" t="s">
        <v>95</v>
      </c>
      <c r="M106" s="15" t="s">
        <v>42</v>
      </c>
      <c r="N106" s="15" t="s">
        <v>725</v>
      </c>
      <c r="O106" s="15" t="s">
        <v>726</v>
      </c>
      <c r="P106" s="15" t="s">
        <v>95</v>
      </c>
      <c r="Q106" s="15" t="s">
        <v>95</v>
      </c>
      <c r="R106" s="15" t="s">
        <v>422</v>
      </c>
      <c r="S106" s="15" t="s">
        <v>48</v>
      </c>
      <c r="T106" s="15">
        <v>150</v>
      </c>
      <c r="U106" s="15" t="s">
        <v>727</v>
      </c>
      <c r="V106" s="15" t="s">
        <v>55</v>
      </c>
      <c r="W106" s="15" t="s">
        <v>55</v>
      </c>
      <c r="X106" s="15" t="s">
        <v>168</v>
      </c>
      <c r="Y106" s="15"/>
      <c r="Z106" s="15"/>
      <c r="AA106" s="15" t="s">
        <v>53</v>
      </c>
      <c r="AB106" s="15" t="s">
        <v>53</v>
      </c>
      <c r="AC106" s="15" t="s">
        <v>54</v>
      </c>
      <c r="AD106" s="15" t="s">
        <v>54</v>
      </c>
      <c r="AE106" s="15" t="s">
        <v>54</v>
      </c>
      <c r="AF106" s="15" t="s">
        <v>53</v>
      </c>
      <c r="AG106" s="15" t="s">
        <v>424</v>
      </c>
      <c r="AH106" s="15">
        <v>22.1</v>
      </c>
      <c r="AI106" s="15">
        <v>22.1</v>
      </c>
      <c r="AJ106" s="15">
        <v>22.1</v>
      </c>
      <c r="AK106" s="15">
        <v>22.1</v>
      </c>
      <c r="AL106" s="15">
        <v>9</v>
      </c>
      <c r="AM106" s="15" t="s">
        <v>55</v>
      </c>
    </row>
    <row r="107" spans="1:39" x14ac:dyDescent="0.35">
      <c r="A107" s="15">
        <v>25014</v>
      </c>
      <c r="B107" s="15" t="s">
        <v>417</v>
      </c>
      <c r="C107" s="15" t="s">
        <v>728</v>
      </c>
      <c r="D107" s="15">
        <v>96</v>
      </c>
      <c r="E107" s="15" t="s">
        <v>729</v>
      </c>
      <c r="F107" s="15" t="s">
        <v>730</v>
      </c>
      <c r="G107" s="15" t="s">
        <v>58</v>
      </c>
      <c r="H107" s="15">
        <v>20.86</v>
      </c>
      <c r="I107" s="15" t="s">
        <v>82</v>
      </c>
      <c r="J107" s="15">
        <v>17.96</v>
      </c>
      <c r="K107" s="15" t="s">
        <v>95</v>
      </c>
      <c r="L107" s="15" t="s">
        <v>95</v>
      </c>
      <c r="M107" s="15" t="s">
        <v>42</v>
      </c>
      <c r="N107" s="15" t="s">
        <v>731</v>
      </c>
      <c r="O107" s="15" t="s">
        <v>732</v>
      </c>
      <c r="P107" s="15" t="s">
        <v>95</v>
      </c>
      <c r="Q107" s="15" t="s">
        <v>95</v>
      </c>
      <c r="R107" s="15" t="s">
        <v>422</v>
      </c>
      <c r="S107" s="15" t="s">
        <v>48</v>
      </c>
      <c r="T107" s="15">
        <v>265</v>
      </c>
      <c r="U107" s="15" t="s">
        <v>733</v>
      </c>
      <c r="V107" s="15" t="s">
        <v>55</v>
      </c>
      <c r="W107" s="15" t="s">
        <v>55</v>
      </c>
      <c r="X107" s="15" t="s">
        <v>168</v>
      </c>
      <c r="Y107" s="15"/>
      <c r="Z107" s="15"/>
      <c r="AA107" s="15" t="s">
        <v>53</v>
      </c>
      <c r="AB107" s="15" t="s">
        <v>53</v>
      </c>
      <c r="AC107" s="15" t="s">
        <v>54</v>
      </c>
      <c r="AD107" s="15" t="s">
        <v>54</v>
      </c>
      <c r="AE107" s="15" t="s">
        <v>54</v>
      </c>
      <c r="AF107" s="15" t="s">
        <v>53</v>
      </c>
      <c r="AG107" s="15" t="s">
        <v>424</v>
      </c>
      <c r="AH107" s="15">
        <v>4.7</v>
      </c>
      <c r="AI107" s="15">
        <v>4.7</v>
      </c>
      <c r="AJ107" s="15">
        <v>4.7</v>
      </c>
      <c r="AK107" s="15">
        <v>4.7</v>
      </c>
      <c r="AL107" s="15">
        <v>-35.299999999999997</v>
      </c>
      <c r="AM107" s="15" t="s">
        <v>55</v>
      </c>
    </row>
    <row r="108" spans="1:39" x14ac:dyDescent="0.35">
      <c r="A108" s="5"/>
      <c r="B108" s="6"/>
      <c r="C108" s="5"/>
      <c r="D108" s="5"/>
      <c r="E108" s="7"/>
      <c r="F108" s="7"/>
      <c r="G108" s="7"/>
      <c r="H108" s="8"/>
      <c r="I108" s="9"/>
      <c r="J108" s="8"/>
      <c r="K108" s="7"/>
      <c r="L108" s="7"/>
      <c r="M108" s="7"/>
      <c r="N108" s="7"/>
      <c r="O108" s="7"/>
      <c r="P108" s="7"/>
      <c r="Q108" s="7"/>
      <c r="R108" s="7"/>
      <c r="S108" s="7"/>
      <c r="T108" s="10"/>
      <c r="U108" s="7"/>
      <c r="V108" s="9"/>
      <c r="W108" s="9"/>
      <c r="X108" s="7"/>
      <c r="Y108" s="10"/>
      <c r="Z108" s="10"/>
      <c r="AA108" s="7"/>
      <c r="AB108" s="7"/>
      <c r="AC108" s="7"/>
      <c r="AD108" s="7"/>
      <c r="AE108" s="7"/>
      <c r="AF108" s="7"/>
      <c r="AG108" s="11"/>
      <c r="AH108" s="5"/>
      <c r="AI108" s="5"/>
      <c r="AJ108" s="5"/>
      <c r="AK108" s="5"/>
      <c r="AL108" s="5"/>
      <c r="AM108" s="6"/>
    </row>
    <row r="109" spans="1:39" x14ac:dyDescent="0.35">
      <c r="A109" s="5"/>
      <c r="B109" s="6"/>
      <c r="C109" s="5"/>
      <c r="D109" s="5"/>
      <c r="E109" s="7"/>
      <c r="F109" s="7"/>
      <c r="G109" s="7"/>
      <c r="H109" s="8"/>
      <c r="I109" s="9"/>
      <c r="J109" s="8"/>
      <c r="K109" s="7"/>
      <c r="L109" s="7"/>
      <c r="M109" s="7"/>
      <c r="N109" s="7"/>
      <c r="O109" s="7"/>
      <c r="P109" s="7"/>
      <c r="Q109" s="7"/>
      <c r="R109" s="7"/>
      <c r="S109" s="7"/>
      <c r="T109" s="10"/>
      <c r="U109" s="7"/>
      <c r="V109" s="9"/>
      <c r="W109" s="9"/>
      <c r="X109" s="7"/>
      <c r="Y109" s="10"/>
      <c r="Z109" s="10"/>
      <c r="AA109" s="7"/>
      <c r="AB109" s="7"/>
      <c r="AC109" s="7"/>
      <c r="AD109" s="7"/>
      <c r="AE109" s="7"/>
      <c r="AF109" s="7"/>
      <c r="AG109" s="11"/>
      <c r="AH109" s="5"/>
      <c r="AI109" s="5"/>
      <c r="AJ109" s="5"/>
      <c r="AK109" s="5"/>
      <c r="AL109" s="5"/>
      <c r="AM109" s="6"/>
    </row>
    <row r="110" spans="1:39" x14ac:dyDescent="0.35">
      <c r="A110" s="5"/>
      <c r="B110" s="6"/>
      <c r="C110" s="5"/>
      <c r="D110" s="5"/>
      <c r="E110" s="7"/>
      <c r="F110" s="7"/>
      <c r="G110" s="7"/>
      <c r="H110" s="8"/>
      <c r="I110" s="9"/>
      <c r="J110" s="8"/>
      <c r="K110" s="7"/>
      <c r="L110" s="7"/>
      <c r="M110" s="7"/>
      <c r="N110" s="7"/>
      <c r="O110" s="7"/>
      <c r="P110" s="7"/>
      <c r="Q110" s="7"/>
      <c r="R110" s="7"/>
      <c r="S110" s="7"/>
      <c r="T110" s="10"/>
      <c r="U110" s="7"/>
      <c r="V110" s="9"/>
      <c r="W110" s="9"/>
      <c r="X110" s="7"/>
      <c r="Y110" s="10"/>
      <c r="Z110" s="10"/>
      <c r="AA110" s="7"/>
      <c r="AB110" s="7"/>
      <c r="AC110" s="7"/>
      <c r="AD110" s="7"/>
      <c r="AE110" s="7"/>
      <c r="AF110" s="7"/>
      <c r="AG110" s="11"/>
      <c r="AH110" s="5"/>
      <c r="AI110" s="5"/>
      <c r="AJ110" s="5"/>
      <c r="AK110" s="5"/>
      <c r="AL110" s="5"/>
      <c r="AM110" s="6"/>
    </row>
    <row r="111" spans="1:39" x14ac:dyDescent="0.35">
      <c r="A111" s="5"/>
      <c r="B111" s="6"/>
      <c r="C111" s="5"/>
      <c r="D111" s="5"/>
      <c r="E111" s="7"/>
      <c r="F111" s="7"/>
      <c r="G111" s="7"/>
      <c r="H111" s="8"/>
      <c r="I111" s="9"/>
      <c r="J111" s="8"/>
      <c r="K111" s="7"/>
      <c r="L111" s="7"/>
      <c r="M111" s="7"/>
      <c r="N111" s="7"/>
      <c r="O111" s="7"/>
      <c r="P111" s="7"/>
      <c r="Q111" s="7"/>
      <c r="R111" s="7"/>
      <c r="S111" s="7"/>
      <c r="T111" s="10"/>
      <c r="U111" s="7"/>
      <c r="V111" s="9"/>
      <c r="W111" s="9"/>
      <c r="X111" s="7"/>
      <c r="Y111" s="10"/>
      <c r="Z111" s="10"/>
      <c r="AA111" s="7"/>
      <c r="AB111" s="7"/>
      <c r="AC111" s="7"/>
      <c r="AD111" s="7"/>
      <c r="AE111" s="7"/>
      <c r="AF111" s="7"/>
      <c r="AG111" s="11"/>
      <c r="AH111" s="5"/>
      <c r="AI111" s="5"/>
      <c r="AJ111" s="5"/>
      <c r="AK111" s="5"/>
      <c r="AL111" s="5"/>
      <c r="AM111" s="6"/>
    </row>
    <row r="112" spans="1:39" x14ac:dyDescent="0.35">
      <c r="A112" s="5"/>
      <c r="B112" s="6"/>
      <c r="C112" s="5"/>
      <c r="D112" s="5"/>
      <c r="E112" s="7"/>
      <c r="F112" s="7"/>
      <c r="G112" s="7"/>
      <c r="H112" s="8"/>
      <c r="I112" s="9"/>
      <c r="J112" s="8"/>
      <c r="K112" s="7"/>
      <c r="L112" s="7"/>
      <c r="M112" s="7"/>
      <c r="N112" s="7"/>
      <c r="O112" s="7"/>
      <c r="P112" s="7"/>
      <c r="Q112" s="7"/>
      <c r="R112" s="7"/>
      <c r="S112" s="7"/>
      <c r="T112" s="10"/>
      <c r="U112" s="7"/>
      <c r="V112" s="9"/>
      <c r="W112" s="9"/>
      <c r="X112" s="7"/>
      <c r="Y112" s="10"/>
      <c r="Z112" s="10"/>
      <c r="AA112" s="7"/>
      <c r="AB112" s="7"/>
      <c r="AC112" s="7"/>
      <c r="AD112" s="7"/>
      <c r="AE112" s="7"/>
      <c r="AF112" s="7"/>
      <c r="AG112" s="11"/>
      <c r="AH112" s="5"/>
      <c r="AI112" s="5"/>
      <c r="AJ112" s="5"/>
      <c r="AK112" s="5"/>
      <c r="AL112" s="5"/>
      <c r="AM112" s="6"/>
    </row>
    <row r="113" spans="1:39" x14ac:dyDescent="0.35">
      <c r="A113" s="5"/>
      <c r="B113" s="6"/>
      <c r="C113" s="5"/>
      <c r="D113" s="5"/>
      <c r="E113" s="7"/>
      <c r="F113" s="7"/>
      <c r="G113" s="7"/>
      <c r="H113" s="8"/>
      <c r="I113" s="9"/>
      <c r="J113" s="8"/>
      <c r="K113" s="7"/>
      <c r="L113" s="7"/>
      <c r="M113" s="7"/>
      <c r="N113" s="7"/>
      <c r="O113" s="7"/>
      <c r="P113" s="7"/>
      <c r="Q113" s="7"/>
      <c r="R113" s="7"/>
      <c r="S113" s="7"/>
      <c r="T113" s="10"/>
      <c r="U113" s="7"/>
      <c r="V113" s="9"/>
      <c r="W113" s="9"/>
      <c r="X113" s="7"/>
      <c r="Y113" s="10"/>
      <c r="Z113" s="10"/>
      <c r="AA113" s="7"/>
      <c r="AB113" s="7"/>
      <c r="AC113" s="7"/>
      <c r="AD113" s="7"/>
      <c r="AE113" s="7"/>
      <c r="AF113" s="7"/>
      <c r="AG113" s="11"/>
      <c r="AH113" s="5"/>
      <c r="AI113" s="5"/>
      <c r="AJ113" s="5"/>
      <c r="AK113" s="5"/>
      <c r="AL113" s="5"/>
      <c r="AM113" s="6"/>
    </row>
    <row r="114" spans="1:39" x14ac:dyDescent="0.35">
      <c r="A114" s="5"/>
      <c r="B114" s="6"/>
      <c r="C114" s="5"/>
      <c r="D114" s="5"/>
      <c r="E114" s="7"/>
      <c r="F114" s="7"/>
      <c r="G114" s="7"/>
      <c r="H114" s="8"/>
      <c r="I114" s="9"/>
      <c r="J114" s="8"/>
      <c r="K114" s="7"/>
      <c r="L114" s="7"/>
      <c r="M114" s="7"/>
      <c r="N114" s="7"/>
      <c r="O114" s="7"/>
      <c r="P114" s="7"/>
      <c r="Q114" s="7"/>
      <c r="R114" s="7"/>
      <c r="S114" s="7"/>
      <c r="T114" s="10"/>
      <c r="U114" s="7"/>
      <c r="V114" s="9"/>
      <c r="W114" s="9"/>
      <c r="X114" s="7"/>
      <c r="Y114" s="10"/>
      <c r="Z114" s="10"/>
      <c r="AA114" s="7"/>
      <c r="AB114" s="7"/>
      <c r="AC114" s="7"/>
      <c r="AD114" s="7"/>
      <c r="AE114" s="7"/>
      <c r="AF114" s="7"/>
      <c r="AG114" s="11"/>
      <c r="AH114" s="5"/>
      <c r="AI114" s="5"/>
      <c r="AJ114" s="5"/>
      <c r="AK114" s="5"/>
      <c r="AL114" s="5"/>
      <c r="AM114" s="6"/>
    </row>
    <row r="115" spans="1:39" x14ac:dyDescent="0.35">
      <c r="A115" s="5"/>
      <c r="B115" s="6"/>
      <c r="C115" s="5"/>
      <c r="D115" s="5"/>
      <c r="E115" s="7"/>
      <c r="F115" s="7"/>
      <c r="G115" s="7"/>
      <c r="H115" s="8"/>
      <c r="I115" s="9"/>
      <c r="J115" s="8"/>
      <c r="K115" s="7"/>
      <c r="L115" s="7"/>
      <c r="M115" s="7"/>
      <c r="N115" s="7"/>
      <c r="O115" s="7"/>
      <c r="P115" s="7"/>
      <c r="Q115" s="7"/>
      <c r="R115" s="7"/>
      <c r="S115" s="7"/>
      <c r="T115" s="10"/>
      <c r="U115" s="7"/>
      <c r="V115" s="9"/>
      <c r="W115" s="9"/>
      <c r="X115" s="7"/>
      <c r="Y115" s="10"/>
      <c r="Z115" s="10"/>
      <c r="AA115" s="7"/>
      <c r="AB115" s="7"/>
      <c r="AC115" s="7"/>
      <c r="AD115" s="7"/>
      <c r="AE115" s="7"/>
      <c r="AF115" s="7"/>
      <c r="AG115" s="11"/>
      <c r="AH115" s="5"/>
      <c r="AI115" s="5"/>
      <c r="AJ115" s="5"/>
      <c r="AK115" s="5"/>
      <c r="AL115" s="5"/>
      <c r="AM115" s="6"/>
    </row>
    <row r="116" spans="1:39" x14ac:dyDescent="0.35">
      <c r="A116" s="5"/>
      <c r="B116" s="6"/>
      <c r="C116" s="5"/>
      <c r="D116" s="5"/>
      <c r="E116" s="7"/>
      <c r="F116" s="7"/>
      <c r="G116" s="7"/>
      <c r="H116" s="8"/>
      <c r="I116" s="9"/>
      <c r="J116" s="8"/>
      <c r="K116" s="7"/>
      <c r="L116" s="7"/>
      <c r="M116" s="7"/>
      <c r="N116" s="7"/>
      <c r="O116" s="7"/>
      <c r="P116" s="7"/>
      <c r="Q116" s="7"/>
      <c r="R116" s="7"/>
      <c r="S116" s="7"/>
      <c r="T116" s="10"/>
      <c r="U116" s="7"/>
      <c r="V116" s="9"/>
      <c r="W116" s="9"/>
      <c r="X116" s="7"/>
      <c r="Y116" s="10"/>
      <c r="Z116" s="10"/>
      <c r="AA116" s="7"/>
      <c r="AB116" s="7"/>
      <c r="AC116" s="7"/>
      <c r="AD116" s="7"/>
      <c r="AE116" s="7"/>
      <c r="AF116" s="7"/>
      <c r="AG116" s="11"/>
      <c r="AH116" s="5"/>
      <c r="AI116" s="5"/>
      <c r="AJ116" s="5"/>
      <c r="AK116" s="5"/>
      <c r="AL116" s="5"/>
      <c r="AM116" s="6"/>
    </row>
    <row r="117" spans="1:39" x14ac:dyDescent="0.35">
      <c r="A117" s="5"/>
      <c r="B117" s="6"/>
      <c r="C117" s="5"/>
      <c r="D117" s="5"/>
      <c r="E117" s="7"/>
      <c r="F117" s="7"/>
      <c r="G117" s="7"/>
      <c r="H117" s="8"/>
      <c r="I117" s="9"/>
      <c r="J117" s="8"/>
      <c r="K117" s="7"/>
      <c r="L117" s="7"/>
      <c r="M117" s="7"/>
      <c r="N117" s="7"/>
      <c r="O117" s="7"/>
      <c r="P117" s="7"/>
      <c r="Q117" s="7"/>
      <c r="R117" s="7"/>
      <c r="S117" s="7"/>
      <c r="T117" s="10"/>
      <c r="U117" s="7"/>
      <c r="V117" s="9"/>
      <c r="W117" s="9"/>
      <c r="X117" s="7"/>
      <c r="Y117" s="10"/>
      <c r="Z117" s="10"/>
      <c r="AA117" s="7"/>
      <c r="AB117" s="7"/>
      <c r="AC117" s="7"/>
      <c r="AD117" s="7"/>
      <c r="AE117" s="7"/>
      <c r="AF117" s="7"/>
      <c r="AG117" s="11"/>
      <c r="AH117" s="5"/>
      <c r="AI117" s="5"/>
      <c r="AJ117" s="5"/>
      <c r="AK117" s="5"/>
      <c r="AL117" s="5"/>
      <c r="AM117" s="6"/>
    </row>
    <row r="118" spans="1:39" x14ac:dyDescent="0.35">
      <c r="A118" s="5"/>
      <c r="B118" s="6"/>
      <c r="C118" s="5"/>
      <c r="D118" s="5"/>
      <c r="E118" s="7"/>
      <c r="F118" s="7"/>
      <c r="G118" s="7"/>
      <c r="H118" s="8"/>
      <c r="I118" s="9"/>
      <c r="J118" s="8"/>
      <c r="K118" s="7"/>
      <c r="L118" s="7"/>
      <c r="M118" s="7"/>
      <c r="N118" s="7"/>
      <c r="O118" s="7"/>
      <c r="P118" s="7"/>
      <c r="Q118" s="7"/>
      <c r="R118" s="7"/>
      <c r="S118" s="7"/>
      <c r="T118" s="10"/>
      <c r="U118" s="7"/>
      <c r="V118" s="9"/>
      <c r="W118" s="9"/>
      <c r="X118" s="7"/>
      <c r="Y118" s="10"/>
      <c r="Z118" s="10"/>
      <c r="AA118" s="7"/>
      <c r="AB118" s="7"/>
      <c r="AC118" s="7"/>
      <c r="AD118" s="7"/>
      <c r="AE118" s="7"/>
      <c r="AF118" s="7"/>
      <c r="AG118" s="11"/>
      <c r="AH118" s="5"/>
      <c r="AI118" s="5"/>
      <c r="AJ118" s="5"/>
      <c r="AK118" s="5"/>
      <c r="AL118" s="5"/>
      <c r="AM118" s="6"/>
    </row>
    <row r="119" spans="1:39" x14ac:dyDescent="0.35">
      <c r="A119" s="5"/>
      <c r="B119" s="6"/>
      <c r="C119" s="5"/>
      <c r="D119" s="5"/>
      <c r="E119" s="7"/>
      <c r="F119" s="7"/>
      <c r="G119" s="7"/>
      <c r="H119" s="8"/>
      <c r="I119" s="9"/>
      <c r="J119" s="8"/>
      <c r="K119" s="7"/>
      <c r="L119" s="7"/>
      <c r="M119" s="7"/>
      <c r="N119" s="7"/>
      <c r="O119" s="7"/>
      <c r="P119" s="7"/>
      <c r="Q119" s="7"/>
      <c r="R119" s="7"/>
      <c r="S119" s="7"/>
      <c r="T119" s="10"/>
      <c r="U119" s="7"/>
      <c r="V119" s="9"/>
      <c r="W119" s="9"/>
      <c r="X119" s="7"/>
      <c r="Y119" s="10"/>
      <c r="Z119" s="10"/>
      <c r="AA119" s="7"/>
      <c r="AB119" s="7"/>
      <c r="AC119" s="7"/>
      <c r="AD119" s="7"/>
      <c r="AE119" s="7"/>
      <c r="AF119" s="7"/>
      <c r="AG119" s="11"/>
      <c r="AH119" s="5"/>
      <c r="AI119" s="5"/>
      <c r="AJ119" s="5"/>
      <c r="AK119" s="5"/>
      <c r="AL119" s="5"/>
      <c r="AM119" s="6"/>
    </row>
    <row r="120" spans="1:39" x14ac:dyDescent="0.35">
      <c r="A120" s="5"/>
      <c r="B120" s="6"/>
      <c r="C120" s="5"/>
      <c r="D120" s="5"/>
      <c r="E120" s="7"/>
      <c r="F120" s="7"/>
      <c r="G120" s="7"/>
      <c r="H120" s="8"/>
      <c r="I120" s="9"/>
      <c r="J120" s="8"/>
      <c r="K120" s="7"/>
      <c r="L120" s="7"/>
      <c r="M120" s="7"/>
      <c r="N120" s="7"/>
      <c r="O120" s="7"/>
      <c r="P120" s="7"/>
      <c r="Q120" s="7"/>
      <c r="R120" s="7"/>
      <c r="S120" s="7"/>
      <c r="T120" s="10"/>
      <c r="U120" s="7"/>
      <c r="V120" s="9"/>
      <c r="W120" s="9"/>
      <c r="X120" s="7"/>
      <c r="Y120" s="10"/>
      <c r="Z120" s="10"/>
      <c r="AA120" s="7"/>
      <c r="AB120" s="7"/>
      <c r="AC120" s="7"/>
      <c r="AD120" s="7"/>
      <c r="AE120" s="7"/>
      <c r="AF120" s="7"/>
      <c r="AG120" s="11"/>
      <c r="AH120" s="5"/>
      <c r="AI120" s="5"/>
      <c r="AJ120" s="5"/>
      <c r="AK120" s="5"/>
      <c r="AL120" s="5"/>
      <c r="AM120" s="6"/>
    </row>
    <row r="121" spans="1:39" x14ac:dyDescent="0.35">
      <c r="A121" s="5"/>
      <c r="B121" s="6"/>
      <c r="C121" s="5"/>
      <c r="D121" s="5"/>
      <c r="E121" s="7"/>
      <c r="F121" s="7"/>
      <c r="G121" s="7"/>
      <c r="H121" s="8"/>
      <c r="I121" s="9"/>
      <c r="J121" s="8"/>
      <c r="K121" s="7"/>
      <c r="L121" s="7"/>
      <c r="M121" s="7"/>
      <c r="N121" s="7"/>
      <c r="O121" s="7"/>
      <c r="P121" s="7"/>
      <c r="Q121" s="7"/>
      <c r="R121" s="7"/>
      <c r="S121" s="7"/>
      <c r="T121" s="10"/>
      <c r="U121" s="7"/>
      <c r="V121" s="9"/>
      <c r="W121" s="9"/>
      <c r="X121" s="7"/>
      <c r="Y121" s="10"/>
      <c r="Z121" s="10"/>
      <c r="AA121" s="7"/>
      <c r="AB121" s="7"/>
      <c r="AC121" s="7"/>
      <c r="AD121" s="7"/>
      <c r="AE121" s="7"/>
      <c r="AF121" s="7"/>
      <c r="AG121" s="11"/>
      <c r="AH121" s="5"/>
      <c r="AI121" s="5"/>
      <c r="AJ121" s="5"/>
      <c r="AK121" s="5"/>
      <c r="AL121" s="5"/>
      <c r="AM121" s="6"/>
    </row>
    <row r="122" spans="1:39" x14ac:dyDescent="0.35">
      <c r="A122" s="5"/>
      <c r="B122" s="6"/>
      <c r="C122" s="5"/>
      <c r="D122" s="5"/>
      <c r="E122" s="7"/>
      <c r="F122" s="7"/>
      <c r="G122" s="7"/>
      <c r="H122" s="8"/>
      <c r="I122" s="9"/>
      <c r="J122" s="8"/>
      <c r="K122" s="7"/>
      <c r="L122" s="7"/>
      <c r="M122" s="7"/>
      <c r="N122" s="7"/>
      <c r="O122" s="7"/>
      <c r="P122" s="7"/>
      <c r="Q122" s="7"/>
      <c r="R122" s="7"/>
      <c r="S122" s="7"/>
      <c r="T122" s="10"/>
      <c r="U122" s="7"/>
      <c r="V122" s="9"/>
      <c r="W122" s="9"/>
      <c r="X122" s="7"/>
      <c r="Y122" s="10"/>
      <c r="Z122" s="10"/>
      <c r="AA122" s="7"/>
      <c r="AB122" s="7"/>
      <c r="AC122" s="7"/>
      <c r="AD122" s="7"/>
      <c r="AE122" s="7"/>
      <c r="AF122" s="7"/>
      <c r="AG122" s="11"/>
      <c r="AH122" s="5"/>
      <c r="AI122" s="5"/>
      <c r="AJ122" s="5"/>
      <c r="AK122" s="5"/>
      <c r="AL122" s="5"/>
      <c r="AM122" s="6"/>
    </row>
    <row r="123" spans="1:39" x14ac:dyDescent="0.35">
      <c r="A123" s="5"/>
      <c r="B123" s="6"/>
      <c r="C123" s="5"/>
      <c r="D123" s="5"/>
      <c r="E123" s="7"/>
      <c r="F123" s="7"/>
      <c r="G123" s="7"/>
      <c r="H123" s="8"/>
      <c r="I123" s="9"/>
      <c r="J123" s="8"/>
      <c r="K123" s="7"/>
      <c r="L123" s="7"/>
      <c r="M123" s="7"/>
      <c r="N123" s="7"/>
      <c r="O123" s="7"/>
      <c r="P123" s="7"/>
      <c r="Q123" s="7"/>
      <c r="R123" s="7"/>
      <c r="S123" s="7"/>
      <c r="T123" s="10"/>
      <c r="U123" s="7"/>
      <c r="V123" s="9"/>
      <c r="W123" s="9"/>
      <c r="X123" s="7"/>
      <c r="Y123" s="10"/>
      <c r="Z123" s="10"/>
      <c r="AA123" s="7"/>
      <c r="AB123" s="7"/>
      <c r="AC123" s="7"/>
      <c r="AD123" s="7"/>
      <c r="AE123" s="7"/>
      <c r="AF123" s="7"/>
      <c r="AG123" s="11"/>
      <c r="AH123" s="5"/>
      <c r="AI123" s="5"/>
      <c r="AJ123" s="5"/>
      <c r="AK123" s="5"/>
      <c r="AL123" s="5"/>
      <c r="AM123" s="6"/>
    </row>
    <row r="124" spans="1:39" x14ac:dyDescent="0.35">
      <c r="A124" s="5"/>
      <c r="B124" s="6"/>
      <c r="C124" s="5"/>
      <c r="D124" s="5"/>
      <c r="E124" s="7"/>
      <c r="F124" s="7"/>
      <c r="G124" s="7"/>
      <c r="H124" s="8"/>
      <c r="I124" s="9"/>
      <c r="J124" s="8"/>
      <c r="K124" s="7"/>
      <c r="L124" s="7"/>
      <c r="M124" s="7"/>
      <c r="N124" s="7"/>
      <c r="O124" s="7"/>
      <c r="P124" s="7"/>
      <c r="Q124" s="7"/>
      <c r="R124" s="7"/>
      <c r="S124" s="7"/>
      <c r="T124" s="10"/>
      <c r="U124" s="7"/>
      <c r="V124" s="9"/>
      <c r="W124" s="9"/>
      <c r="X124" s="7"/>
      <c r="Y124" s="10"/>
      <c r="Z124" s="10"/>
      <c r="AA124" s="7"/>
      <c r="AB124" s="7"/>
      <c r="AC124" s="7"/>
      <c r="AD124" s="7"/>
      <c r="AE124" s="7"/>
      <c r="AF124" s="7"/>
      <c r="AG124" s="11"/>
      <c r="AH124" s="5"/>
      <c r="AI124" s="5"/>
      <c r="AJ124" s="5"/>
      <c r="AK124" s="5"/>
      <c r="AL124" s="5"/>
      <c r="AM124" s="6"/>
    </row>
    <row r="125" spans="1:39" x14ac:dyDescent="0.35">
      <c r="A125" s="5"/>
      <c r="B125" s="6"/>
      <c r="C125" s="5"/>
      <c r="D125" s="5"/>
      <c r="E125" s="7"/>
      <c r="F125" s="7"/>
      <c r="G125" s="7"/>
      <c r="H125" s="8"/>
      <c r="I125" s="9"/>
      <c r="J125" s="8"/>
      <c r="K125" s="7"/>
      <c r="L125" s="7"/>
      <c r="M125" s="7"/>
      <c r="N125" s="7"/>
      <c r="O125" s="7"/>
      <c r="P125" s="7"/>
      <c r="Q125" s="7"/>
      <c r="R125" s="7"/>
      <c r="S125" s="7"/>
      <c r="T125" s="10"/>
      <c r="U125" s="7"/>
      <c r="V125" s="9"/>
      <c r="W125" s="9"/>
      <c r="X125" s="7"/>
      <c r="Y125" s="10"/>
      <c r="Z125" s="10"/>
      <c r="AA125" s="7"/>
      <c r="AB125" s="7"/>
      <c r="AC125" s="7"/>
      <c r="AD125" s="7"/>
      <c r="AE125" s="7"/>
      <c r="AF125" s="7"/>
      <c r="AG125" s="11"/>
      <c r="AH125" s="5"/>
      <c r="AI125" s="5"/>
      <c r="AJ125" s="5"/>
      <c r="AK125" s="5"/>
      <c r="AL125" s="5"/>
      <c r="AM125" s="6"/>
    </row>
    <row r="126" spans="1:39" x14ac:dyDescent="0.35">
      <c r="A126" s="5"/>
      <c r="B126" s="6"/>
      <c r="C126" s="5"/>
      <c r="D126" s="5"/>
      <c r="E126" s="7"/>
      <c r="F126" s="7"/>
      <c r="G126" s="7"/>
      <c r="H126" s="8"/>
      <c r="I126" s="9"/>
      <c r="J126" s="8"/>
      <c r="K126" s="7"/>
      <c r="L126" s="7"/>
      <c r="M126" s="7"/>
      <c r="N126" s="7"/>
      <c r="O126" s="7"/>
      <c r="P126" s="7"/>
      <c r="Q126" s="7"/>
      <c r="R126" s="7"/>
      <c r="S126" s="7"/>
      <c r="T126" s="10"/>
      <c r="U126" s="7"/>
      <c r="V126" s="9"/>
      <c r="W126" s="9"/>
      <c r="X126" s="7"/>
      <c r="Y126" s="10"/>
      <c r="Z126" s="10"/>
      <c r="AA126" s="7"/>
      <c r="AB126" s="7"/>
      <c r="AC126" s="7"/>
      <c r="AD126" s="7"/>
      <c r="AE126" s="7"/>
      <c r="AF126" s="7"/>
      <c r="AG126" s="11"/>
      <c r="AH126" s="5"/>
      <c r="AI126" s="5"/>
      <c r="AJ126" s="5"/>
      <c r="AK126" s="5"/>
      <c r="AL126" s="5"/>
      <c r="AM126" s="6"/>
    </row>
    <row r="127" spans="1:39" x14ac:dyDescent="0.35">
      <c r="A127" s="5"/>
      <c r="B127" s="6"/>
      <c r="C127" s="5"/>
      <c r="D127" s="5"/>
      <c r="E127" s="7"/>
      <c r="F127" s="7"/>
      <c r="G127" s="7"/>
      <c r="H127" s="8"/>
      <c r="I127" s="9"/>
      <c r="J127" s="8"/>
      <c r="K127" s="7"/>
      <c r="L127" s="7"/>
      <c r="M127" s="7"/>
      <c r="N127" s="7"/>
      <c r="O127" s="7"/>
      <c r="P127" s="7"/>
      <c r="Q127" s="7"/>
      <c r="R127" s="7"/>
      <c r="S127" s="7"/>
      <c r="T127" s="10"/>
      <c r="U127" s="7"/>
      <c r="V127" s="9"/>
      <c r="W127" s="9"/>
      <c r="X127" s="7"/>
      <c r="Y127" s="10"/>
      <c r="Z127" s="10"/>
      <c r="AA127" s="7"/>
      <c r="AB127" s="7"/>
      <c r="AC127" s="7"/>
      <c r="AD127" s="7"/>
      <c r="AE127" s="7"/>
      <c r="AF127" s="7"/>
      <c r="AG127" s="11"/>
      <c r="AH127" s="5"/>
      <c r="AI127" s="5"/>
      <c r="AJ127" s="5"/>
      <c r="AK127" s="5"/>
      <c r="AL127" s="5"/>
      <c r="AM127" s="6"/>
    </row>
    <row r="128" spans="1:39" x14ac:dyDescent="0.35">
      <c r="A128" s="5"/>
      <c r="B128" s="6"/>
      <c r="C128" s="5"/>
      <c r="D128" s="5"/>
      <c r="E128" s="7"/>
      <c r="F128" s="7"/>
      <c r="G128" s="7"/>
      <c r="H128" s="8"/>
      <c r="I128" s="9"/>
      <c r="J128" s="8"/>
      <c r="K128" s="7"/>
      <c r="L128" s="7"/>
      <c r="M128" s="7"/>
      <c r="N128" s="7"/>
      <c r="O128" s="7"/>
      <c r="P128" s="7"/>
      <c r="Q128" s="7"/>
      <c r="R128" s="7"/>
      <c r="S128" s="7"/>
      <c r="T128" s="10"/>
      <c r="U128" s="7"/>
      <c r="V128" s="9"/>
      <c r="W128" s="9"/>
      <c r="X128" s="7"/>
      <c r="Y128" s="10"/>
      <c r="Z128" s="10"/>
      <c r="AA128" s="7"/>
      <c r="AB128" s="7"/>
      <c r="AC128" s="7"/>
      <c r="AD128" s="7"/>
      <c r="AE128" s="7"/>
      <c r="AF128" s="7"/>
      <c r="AG128" s="11"/>
      <c r="AH128" s="5"/>
      <c r="AI128" s="5"/>
      <c r="AJ128" s="5"/>
      <c r="AK128" s="5"/>
      <c r="AL128" s="5"/>
      <c r="AM128" s="6"/>
    </row>
    <row r="129" spans="1:39" x14ac:dyDescent="0.35">
      <c r="A129" s="5"/>
      <c r="B129" s="6"/>
      <c r="C129" s="5"/>
      <c r="D129" s="5"/>
      <c r="E129" s="7"/>
      <c r="F129" s="7"/>
      <c r="G129" s="7"/>
      <c r="H129" s="8"/>
      <c r="I129" s="9"/>
      <c r="J129" s="8"/>
      <c r="K129" s="7"/>
      <c r="L129" s="7"/>
      <c r="M129" s="7"/>
      <c r="N129" s="7"/>
      <c r="O129" s="7"/>
      <c r="P129" s="7"/>
      <c r="Q129" s="7"/>
      <c r="R129" s="7"/>
      <c r="S129" s="7"/>
      <c r="T129" s="10"/>
      <c r="U129" s="7"/>
      <c r="V129" s="9"/>
      <c r="W129" s="9"/>
      <c r="X129" s="7"/>
      <c r="Y129" s="10"/>
      <c r="Z129" s="10"/>
      <c r="AA129" s="7"/>
      <c r="AB129" s="7"/>
      <c r="AC129" s="7"/>
      <c r="AD129" s="7"/>
      <c r="AE129" s="7"/>
      <c r="AF129" s="7"/>
      <c r="AG129" s="11"/>
      <c r="AH129" s="5"/>
      <c r="AI129" s="5"/>
      <c r="AJ129" s="5"/>
      <c r="AK129" s="5"/>
      <c r="AL129" s="5"/>
      <c r="AM129" s="6"/>
    </row>
    <row r="130" spans="1:39" x14ac:dyDescent="0.35">
      <c r="A130" s="5"/>
      <c r="B130" s="6"/>
      <c r="C130" s="5"/>
      <c r="D130" s="5"/>
      <c r="E130" s="7"/>
      <c r="F130" s="7"/>
      <c r="G130" s="7"/>
      <c r="H130" s="8"/>
      <c r="I130" s="9"/>
      <c r="J130" s="8"/>
      <c r="K130" s="7"/>
      <c r="L130" s="7"/>
      <c r="M130" s="7"/>
      <c r="N130" s="7"/>
      <c r="O130" s="7"/>
      <c r="P130" s="7"/>
      <c r="Q130" s="7"/>
      <c r="R130" s="7"/>
      <c r="S130" s="7"/>
      <c r="T130" s="10"/>
      <c r="U130" s="7"/>
      <c r="V130" s="9"/>
      <c r="W130" s="9"/>
      <c r="X130" s="7"/>
      <c r="Y130" s="10"/>
      <c r="Z130" s="10"/>
      <c r="AA130" s="7"/>
      <c r="AB130" s="7"/>
      <c r="AC130" s="7"/>
      <c r="AD130" s="7"/>
      <c r="AE130" s="7"/>
      <c r="AF130" s="7"/>
      <c r="AG130" s="11"/>
      <c r="AH130" s="5"/>
      <c r="AI130" s="5"/>
      <c r="AJ130" s="5"/>
      <c r="AK130" s="5"/>
      <c r="AL130" s="5"/>
      <c r="AM130" s="6"/>
    </row>
    <row r="131" spans="1:39" x14ac:dyDescent="0.35">
      <c r="A131" s="5"/>
      <c r="B131" s="6"/>
      <c r="C131" s="5"/>
      <c r="D131" s="5"/>
      <c r="E131" s="7"/>
      <c r="F131" s="7"/>
      <c r="G131" s="7"/>
      <c r="H131" s="8"/>
      <c r="I131" s="9"/>
      <c r="J131" s="8"/>
      <c r="K131" s="7"/>
      <c r="L131" s="7"/>
      <c r="M131" s="7"/>
      <c r="N131" s="7"/>
      <c r="O131" s="7"/>
      <c r="P131" s="7"/>
      <c r="Q131" s="7"/>
      <c r="R131" s="7"/>
      <c r="S131" s="7"/>
      <c r="T131" s="10"/>
      <c r="U131" s="7"/>
      <c r="V131" s="9"/>
      <c r="W131" s="9"/>
      <c r="X131" s="7"/>
      <c r="Y131" s="10"/>
      <c r="Z131" s="10"/>
      <c r="AA131" s="7"/>
      <c r="AB131" s="7"/>
      <c r="AC131" s="7"/>
      <c r="AD131" s="7"/>
      <c r="AE131" s="7"/>
      <c r="AF131" s="7"/>
      <c r="AG131" s="11"/>
      <c r="AH131" s="5"/>
      <c r="AI131" s="5"/>
      <c r="AJ131" s="5"/>
      <c r="AK131" s="5"/>
      <c r="AL131" s="5"/>
      <c r="AM131" s="6"/>
    </row>
    <row r="132" spans="1:39" x14ac:dyDescent="0.35">
      <c r="A132" s="5"/>
      <c r="B132" s="6"/>
      <c r="C132" s="5"/>
      <c r="D132" s="5"/>
      <c r="E132" s="7"/>
      <c r="F132" s="7"/>
      <c r="G132" s="7"/>
      <c r="H132" s="8"/>
      <c r="I132" s="9"/>
      <c r="J132" s="8"/>
      <c r="K132" s="7"/>
      <c r="L132" s="7"/>
      <c r="M132" s="7"/>
      <c r="N132" s="7"/>
      <c r="O132" s="7"/>
      <c r="P132" s="7"/>
      <c r="Q132" s="7"/>
      <c r="R132" s="7"/>
      <c r="S132" s="7"/>
      <c r="T132" s="10"/>
      <c r="U132" s="7"/>
      <c r="V132" s="9"/>
      <c r="W132" s="9"/>
      <c r="X132" s="7"/>
      <c r="Y132" s="10"/>
      <c r="Z132" s="10"/>
      <c r="AA132" s="7"/>
      <c r="AB132" s="7"/>
      <c r="AC132" s="7"/>
      <c r="AD132" s="7"/>
      <c r="AE132" s="7"/>
      <c r="AF132" s="7"/>
      <c r="AG132" s="11"/>
      <c r="AH132" s="5"/>
      <c r="AI132" s="5"/>
      <c r="AJ132" s="5"/>
      <c r="AK132" s="5"/>
      <c r="AL132" s="5"/>
      <c r="AM132" s="6"/>
    </row>
    <row r="133" spans="1:39" x14ac:dyDescent="0.35">
      <c r="A133" s="5"/>
      <c r="B133" s="6"/>
      <c r="C133" s="5"/>
      <c r="D133" s="5"/>
      <c r="E133" s="7"/>
      <c r="F133" s="7"/>
      <c r="G133" s="7"/>
      <c r="H133" s="8"/>
      <c r="I133" s="9"/>
      <c r="J133" s="8"/>
      <c r="K133" s="7"/>
      <c r="L133" s="7"/>
      <c r="M133" s="7"/>
      <c r="N133" s="7"/>
      <c r="O133" s="7"/>
      <c r="P133" s="7"/>
      <c r="Q133" s="7"/>
      <c r="R133" s="7"/>
      <c r="S133" s="7"/>
      <c r="T133" s="10"/>
      <c r="U133" s="7"/>
      <c r="V133" s="9"/>
      <c r="W133" s="9"/>
      <c r="X133" s="7"/>
      <c r="Y133" s="10"/>
      <c r="Z133" s="10"/>
      <c r="AA133" s="7"/>
      <c r="AB133" s="7"/>
      <c r="AC133" s="7"/>
      <c r="AD133" s="7"/>
      <c r="AE133" s="7"/>
      <c r="AF133" s="7"/>
      <c r="AG133" s="11"/>
      <c r="AH133" s="5"/>
      <c r="AI133" s="5"/>
      <c r="AJ133" s="5"/>
      <c r="AK133" s="5"/>
      <c r="AL133" s="5"/>
      <c r="AM133" s="6"/>
    </row>
    <row r="134" spans="1:39" x14ac:dyDescent="0.35">
      <c r="A134" s="5"/>
      <c r="B134" s="6"/>
      <c r="C134" s="5"/>
      <c r="D134" s="5"/>
      <c r="E134" s="7"/>
      <c r="F134" s="7"/>
      <c r="G134" s="7"/>
      <c r="H134" s="8"/>
      <c r="I134" s="9"/>
      <c r="J134" s="8"/>
      <c r="K134" s="7"/>
      <c r="L134" s="7"/>
      <c r="M134" s="7"/>
      <c r="N134" s="7"/>
      <c r="O134" s="7"/>
      <c r="P134" s="7"/>
      <c r="Q134" s="7"/>
      <c r="R134" s="7"/>
      <c r="S134" s="7"/>
      <c r="T134" s="10"/>
      <c r="U134" s="7"/>
      <c r="V134" s="9"/>
      <c r="W134" s="9"/>
      <c r="X134" s="7"/>
      <c r="Y134" s="10"/>
      <c r="Z134" s="10"/>
      <c r="AA134" s="7"/>
      <c r="AB134" s="7"/>
      <c r="AC134" s="7"/>
      <c r="AD134" s="7"/>
      <c r="AE134" s="7"/>
      <c r="AF134" s="7"/>
      <c r="AG134" s="11"/>
      <c r="AH134" s="5"/>
      <c r="AI134" s="5"/>
      <c r="AJ134" s="5"/>
      <c r="AK134" s="5"/>
      <c r="AL134" s="5"/>
      <c r="AM134" s="6"/>
    </row>
    <row r="135" spans="1:39" x14ac:dyDescent="0.35">
      <c r="A135" s="5"/>
      <c r="B135" s="6"/>
      <c r="C135" s="5"/>
      <c r="D135" s="5"/>
      <c r="E135" s="7"/>
      <c r="F135" s="7"/>
      <c r="G135" s="7"/>
      <c r="H135" s="8"/>
      <c r="I135" s="9"/>
      <c r="J135" s="8"/>
      <c r="K135" s="7"/>
      <c r="L135" s="7"/>
      <c r="M135" s="7"/>
      <c r="N135" s="7"/>
      <c r="O135" s="7"/>
      <c r="P135" s="7"/>
      <c r="Q135" s="7"/>
      <c r="R135" s="7"/>
      <c r="S135" s="7"/>
      <c r="T135" s="10"/>
      <c r="U135" s="7"/>
      <c r="V135" s="9"/>
      <c r="W135" s="9"/>
      <c r="X135" s="7"/>
      <c r="Y135" s="10"/>
      <c r="Z135" s="10"/>
      <c r="AA135" s="7"/>
      <c r="AB135" s="7"/>
      <c r="AC135" s="7"/>
      <c r="AD135" s="7"/>
      <c r="AE135" s="7"/>
      <c r="AF135" s="7"/>
      <c r="AG135" s="11"/>
      <c r="AH135" s="5"/>
      <c r="AI135" s="5"/>
      <c r="AJ135" s="5"/>
      <c r="AK135" s="5"/>
      <c r="AL135" s="5"/>
      <c r="AM135" s="6"/>
    </row>
    <row r="136" spans="1:39" x14ac:dyDescent="0.35">
      <c r="A136" s="5"/>
      <c r="B136" s="6"/>
      <c r="C136" s="5"/>
      <c r="D136" s="5"/>
      <c r="E136" s="7"/>
      <c r="F136" s="7"/>
      <c r="G136" s="7"/>
      <c r="H136" s="8"/>
      <c r="I136" s="9"/>
      <c r="J136" s="8"/>
      <c r="K136" s="7"/>
      <c r="L136" s="7"/>
      <c r="M136" s="7"/>
      <c r="N136" s="7"/>
      <c r="O136" s="7"/>
      <c r="P136" s="7"/>
      <c r="Q136" s="7"/>
      <c r="R136" s="7"/>
      <c r="S136" s="7"/>
      <c r="T136" s="10"/>
      <c r="U136" s="7"/>
      <c r="V136" s="9"/>
      <c r="W136" s="9"/>
      <c r="X136" s="7"/>
      <c r="Y136" s="10"/>
      <c r="Z136" s="10"/>
      <c r="AA136" s="7"/>
      <c r="AB136" s="7"/>
      <c r="AC136" s="7"/>
      <c r="AD136" s="7"/>
      <c r="AE136" s="7"/>
      <c r="AF136" s="7"/>
      <c r="AG136" s="11"/>
      <c r="AH136" s="5"/>
      <c r="AI136" s="5"/>
      <c r="AJ136" s="5"/>
      <c r="AK136" s="5"/>
      <c r="AL136" s="5"/>
      <c r="AM136" s="6"/>
    </row>
    <row r="137" spans="1:39" x14ac:dyDescent="0.35">
      <c r="A137" s="5"/>
      <c r="B137" s="6"/>
      <c r="C137" s="5"/>
      <c r="D137" s="5"/>
      <c r="E137" s="7"/>
      <c r="F137" s="7"/>
      <c r="G137" s="7"/>
      <c r="H137" s="8"/>
      <c r="I137" s="9"/>
      <c r="J137" s="8"/>
      <c r="K137" s="7"/>
      <c r="L137" s="7"/>
      <c r="M137" s="7"/>
      <c r="N137" s="7"/>
      <c r="O137" s="7"/>
      <c r="P137" s="7"/>
      <c r="Q137" s="7"/>
      <c r="R137" s="7"/>
      <c r="S137" s="7"/>
      <c r="T137" s="10"/>
      <c r="U137" s="7"/>
      <c r="V137" s="9"/>
      <c r="W137" s="9"/>
      <c r="X137" s="7"/>
      <c r="Y137" s="10"/>
      <c r="Z137" s="10"/>
      <c r="AA137" s="7"/>
      <c r="AB137" s="7"/>
      <c r="AC137" s="7"/>
      <c r="AD137" s="7"/>
      <c r="AE137" s="7"/>
      <c r="AF137" s="7"/>
      <c r="AG137" s="11"/>
      <c r="AH137" s="5"/>
      <c r="AI137" s="5"/>
      <c r="AJ137" s="5"/>
      <c r="AK137" s="5"/>
      <c r="AL137" s="5"/>
      <c r="AM137" s="6"/>
    </row>
    <row r="138" spans="1:39" x14ac:dyDescent="0.35">
      <c r="A138" s="5"/>
      <c r="B138" s="6"/>
      <c r="C138" s="5"/>
      <c r="D138" s="5"/>
      <c r="E138" s="7"/>
      <c r="F138" s="7"/>
      <c r="G138" s="7"/>
      <c r="H138" s="8"/>
      <c r="I138" s="9"/>
      <c r="J138" s="8"/>
      <c r="K138" s="7"/>
      <c r="L138" s="7"/>
      <c r="M138" s="7"/>
      <c r="N138" s="7"/>
      <c r="O138" s="7"/>
      <c r="P138" s="7"/>
      <c r="Q138" s="7"/>
      <c r="R138" s="7"/>
      <c r="S138" s="7"/>
      <c r="T138" s="10"/>
      <c r="U138" s="7"/>
      <c r="V138" s="9"/>
      <c r="W138" s="9"/>
      <c r="X138" s="7"/>
      <c r="Y138" s="10"/>
      <c r="Z138" s="10"/>
      <c r="AA138" s="7"/>
      <c r="AB138" s="7"/>
      <c r="AC138" s="7"/>
      <c r="AD138" s="7"/>
      <c r="AE138" s="7"/>
      <c r="AF138" s="7"/>
      <c r="AG138" s="11"/>
      <c r="AH138" s="5"/>
      <c r="AI138" s="5"/>
      <c r="AJ138" s="5"/>
      <c r="AK138" s="5"/>
      <c r="AL138" s="5"/>
      <c r="AM138" s="6"/>
    </row>
    <row r="139" spans="1:39" x14ac:dyDescent="0.35">
      <c r="A139" s="5"/>
      <c r="B139" s="6"/>
      <c r="C139" s="5"/>
      <c r="D139" s="5"/>
      <c r="E139" s="7"/>
      <c r="F139" s="7"/>
      <c r="G139" s="7"/>
      <c r="H139" s="8"/>
      <c r="I139" s="9"/>
      <c r="J139" s="8"/>
      <c r="K139" s="7"/>
      <c r="L139" s="7"/>
      <c r="M139" s="7"/>
      <c r="N139" s="7"/>
      <c r="O139" s="7"/>
      <c r="P139" s="7"/>
      <c r="Q139" s="7"/>
      <c r="R139" s="7"/>
      <c r="S139" s="7"/>
      <c r="T139" s="10"/>
      <c r="U139" s="7"/>
      <c r="V139" s="9"/>
      <c r="W139" s="9"/>
      <c r="X139" s="7"/>
      <c r="Y139" s="10"/>
      <c r="Z139" s="10"/>
      <c r="AA139" s="7"/>
      <c r="AB139" s="7"/>
      <c r="AC139" s="7"/>
      <c r="AD139" s="7"/>
      <c r="AE139" s="7"/>
      <c r="AF139" s="7"/>
      <c r="AG139" s="11"/>
      <c r="AH139" s="5"/>
      <c r="AI139" s="5"/>
      <c r="AJ139" s="5"/>
      <c r="AK139" s="5"/>
      <c r="AL139" s="5"/>
      <c r="AM139" s="6"/>
    </row>
    <row r="140" spans="1:39" x14ac:dyDescent="0.35">
      <c r="A140" s="5"/>
      <c r="B140" s="6"/>
      <c r="C140" s="5"/>
      <c r="D140" s="5"/>
      <c r="E140" s="7"/>
      <c r="F140" s="7"/>
      <c r="G140" s="7"/>
      <c r="H140" s="8"/>
      <c r="I140" s="9"/>
      <c r="J140" s="8"/>
      <c r="K140" s="7"/>
      <c r="L140" s="7"/>
      <c r="M140" s="7"/>
      <c r="N140" s="7"/>
      <c r="O140" s="7"/>
      <c r="P140" s="7"/>
      <c r="Q140" s="7"/>
      <c r="R140" s="7"/>
      <c r="S140" s="7"/>
      <c r="T140" s="10"/>
      <c r="U140" s="7"/>
      <c r="V140" s="9"/>
      <c r="W140" s="9"/>
      <c r="X140" s="7"/>
      <c r="Y140" s="10"/>
      <c r="Z140" s="10"/>
      <c r="AA140" s="7"/>
      <c r="AB140" s="7"/>
      <c r="AC140" s="7"/>
      <c r="AD140" s="7"/>
      <c r="AE140" s="7"/>
      <c r="AF140" s="7"/>
      <c r="AG140" s="11"/>
      <c r="AH140" s="5"/>
      <c r="AI140" s="5"/>
      <c r="AJ140" s="5"/>
      <c r="AK140" s="5"/>
      <c r="AL140" s="5"/>
      <c r="AM140" s="6"/>
    </row>
    <row r="141" spans="1:39" x14ac:dyDescent="0.35">
      <c r="A141" s="5"/>
      <c r="B141" s="6"/>
      <c r="C141" s="5"/>
      <c r="D141" s="5"/>
      <c r="E141" s="7"/>
      <c r="F141" s="7"/>
      <c r="G141" s="7"/>
      <c r="H141" s="8"/>
      <c r="I141" s="9"/>
      <c r="J141" s="8"/>
      <c r="K141" s="7"/>
      <c r="L141" s="7"/>
      <c r="M141" s="7"/>
      <c r="N141" s="7"/>
      <c r="O141" s="7"/>
      <c r="P141" s="7"/>
      <c r="Q141" s="7"/>
      <c r="R141" s="7"/>
      <c r="S141" s="7"/>
      <c r="T141" s="10"/>
      <c r="U141" s="7"/>
      <c r="V141" s="9"/>
      <c r="W141" s="9"/>
      <c r="X141" s="7"/>
      <c r="Y141" s="10"/>
      <c r="Z141" s="10"/>
      <c r="AA141" s="7"/>
      <c r="AB141" s="7"/>
      <c r="AC141" s="7"/>
      <c r="AD141" s="7"/>
      <c r="AE141" s="7"/>
      <c r="AF141" s="7"/>
      <c r="AG141" s="11"/>
      <c r="AH141" s="5"/>
      <c r="AI141" s="5"/>
      <c r="AJ141" s="5"/>
      <c r="AK141" s="5"/>
      <c r="AL141" s="5"/>
      <c r="AM141" s="6"/>
    </row>
    <row r="142" spans="1:39" x14ac:dyDescent="0.35">
      <c r="A142" s="5"/>
      <c r="B142" s="6"/>
      <c r="C142" s="5"/>
      <c r="D142" s="5"/>
      <c r="E142" s="7"/>
      <c r="F142" s="7"/>
      <c r="G142" s="7"/>
      <c r="H142" s="8"/>
      <c r="I142" s="9"/>
      <c r="J142" s="8"/>
      <c r="K142" s="7"/>
      <c r="L142" s="7"/>
      <c r="M142" s="7"/>
      <c r="N142" s="7"/>
      <c r="O142" s="7"/>
      <c r="P142" s="7"/>
      <c r="Q142" s="7"/>
      <c r="R142" s="7"/>
      <c r="S142" s="7"/>
      <c r="T142" s="10"/>
      <c r="U142" s="7"/>
      <c r="V142" s="9"/>
      <c r="W142" s="9"/>
      <c r="X142" s="7"/>
      <c r="Y142" s="10"/>
      <c r="Z142" s="10"/>
      <c r="AA142" s="7"/>
      <c r="AB142" s="7"/>
      <c r="AC142" s="7"/>
      <c r="AD142" s="7"/>
      <c r="AE142" s="7"/>
      <c r="AF142" s="7"/>
      <c r="AG142" s="11"/>
      <c r="AH142" s="5"/>
      <c r="AI142" s="5"/>
      <c r="AJ142" s="5"/>
      <c r="AK142" s="5"/>
      <c r="AL142" s="5"/>
      <c r="AM142" s="6"/>
    </row>
    <row r="143" spans="1:39" x14ac:dyDescent="0.35">
      <c r="A143" s="5"/>
      <c r="B143" s="6"/>
      <c r="C143" s="5"/>
      <c r="D143" s="5"/>
      <c r="E143" s="7"/>
      <c r="F143" s="7"/>
      <c r="G143" s="7"/>
      <c r="H143" s="8"/>
      <c r="I143" s="9"/>
      <c r="J143" s="8"/>
      <c r="K143" s="7"/>
      <c r="L143" s="7"/>
      <c r="M143" s="7"/>
      <c r="N143" s="7"/>
      <c r="O143" s="7"/>
      <c r="P143" s="7"/>
      <c r="Q143" s="7"/>
      <c r="R143" s="7"/>
      <c r="S143" s="7"/>
      <c r="T143" s="10"/>
      <c r="U143" s="7"/>
      <c r="V143" s="9"/>
      <c r="W143" s="9"/>
      <c r="X143" s="7"/>
      <c r="Y143" s="10"/>
      <c r="Z143" s="10"/>
      <c r="AA143" s="7"/>
      <c r="AB143" s="7"/>
      <c r="AC143" s="7"/>
      <c r="AD143" s="7"/>
      <c r="AE143" s="7"/>
      <c r="AF143" s="7"/>
      <c r="AG143" s="11"/>
      <c r="AH143" s="5"/>
      <c r="AI143" s="5"/>
      <c r="AJ143" s="5"/>
      <c r="AK143" s="5"/>
      <c r="AL143" s="5"/>
      <c r="AM143" s="6"/>
    </row>
    <row r="144" spans="1:39" x14ac:dyDescent="0.35">
      <c r="A144" s="5"/>
      <c r="B144" s="6"/>
      <c r="C144" s="5"/>
      <c r="D144" s="5"/>
      <c r="E144" s="7"/>
      <c r="F144" s="7"/>
      <c r="G144" s="7"/>
      <c r="H144" s="8"/>
      <c r="I144" s="9"/>
      <c r="J144" s="8"/>
      <c r="K144" s="7"/>
      <c r="L144" s="7"/>
      <c r="M144" s="7"/>
      <c r="N144" s="7"/>
      <c r="O144" s="7"/>
      <c r="P144" s="7"/>
      <c r="Q144" s="7"/>
      <c r="R144" s="7"/>
      <c r="S144" s="7"/>
      <c r="T144" s="10"/>
      <c r="U144" s="7"/>
      <c r="V144" s="9"/>
      <c r="W144" s="9"/>
      <c r="X144" s="7"/>
      <c r="Y144" s="10"/>
      <c r="Z144" s="10"/>
      <c r="AA144" s="7"/>
      <c r="AB144" s="7"/>
      <c r="AC144" s="7"/>
      <c r="AD144" s="7"/>
      <c r="AE144" s="7"/>
      <c r="AF144" s="7"/>
      <c r="AG144" s="11"/>
      <c r="AH144" s="5"/>
      <c r="AI144" s="5"/>
      <c r="AJ144" s="5"/>
      <c r="AK144" s="5"/>
      <c r="AL144" s="5"/>
      <c r="AM144" s="6"/>
    </row>
    <row r="145" spans="1:39" x14ac:dyDescent="0.35">
      <c r="A145" s="5"/>
      <c r="B145" s="6"/>
      <c r="C145" s="5"/>
      <c r="D145" s="5"/>
      <c r="E145" s="7"/>
      <c r="F145" s="7"/>
      <c r="G145" s="7"/>
      <c r="H145" s="8"/>
      <c r="I145" s="9"/>
      <c r="J145" s="8"/>
      <c r="K145" s="7"/>
      <c r="L145" s="7"/>
      <c r="M145" s="7"/>
      <c r="N145" s="7"/>
      <c r="O145" s="7"/>
      <c r="P145" s="7"/>
      <c r="Q145" s="7"/>
      <c r="R145" s="7"/>
      <c r="S145" s="7"/>
      <c r="T145" s="10"/>
      <c r="U145" s="7"/>
      <c r="V145" s="9"/>
      <c r="W145" s="9"/>
      <c r="X145" s="7"/>
      <c r="Y145" s="10"/>
      <c r="Z145" s="10"/>
      <c r="AA145" s="7"/>
      <c r="AB145" s="7"/>
      <c r="AC145" s="7"/>
      <c r="AD145" s="7"/>
      <c r="AE145" s="7"/>
      <c r="AF145" s="7"/>
      <c r="AG145" s="11"/>
      <c r="AH145" s="5"/>
      <c r="AI145" s="5"/>
      <c r="AJ145" s="5"/>
      <c r="AK145" s="5"/>
      <c r="AL145" s="5"/>
      <c r="AM145" s="6"/>
    </row>
    <row r="146" spans="1:39" x14ac:dyDescent="0.35">
      <c r="A146" s="5"/>
      <c r="B146" s="6"/>
      <c r="C146" s="5"/>
      <c r="D146" s="5"/>
      <c r="E146" s="7"/>
      <c r="F146" s="7"/>
      <c r="G146" s="7"/>
      <c r="H146" s="8"/>
      <c r="I146" s="9"/>
      <c r="J146" s="8"/>
      <c r="K146" s="7"/>
      <c r="L146" s="7"/>
      <c r="M146" s="7"/>
      <c r="N146" s="7"/>
      <c r="O146" s="7"/>
      <c r="P146" s="7"/>
      <c r="Q146" s="7"/>
      <c r="R146" s="7"/>
      <c r="S146" s="7"/>
      <c r="T146" s="10"/>
      <c r="U146" s="7"/>
      <c r="V146" s="9"/>
      <c r="W146" s="9"/>
      <c r="X146" s="7"/>
      <c r="Y146" s="10"/>
      <c r="Z146" s="10"/>
      <c r="AA146" s="7"/>
      <c r="AB146" s="7"/>
      <c r="AC146" s="7"/>
      <c r="AD146" s="7"/>
      <c r="AE146" s="7"/>
      <c r="AF146" s="7"/>
      <c r="AG146" s="11"/>
      <c r="AH146" s="5"/>
      <c r="AI146" s="5"/>
      <c r="AJ146" s="5"/>
      <c r="AK146" s="5"/>
      <c r="AL146" s="5"/>
      <c r="AM146" s="6"/>
    </row>
    <row r="147" spans="1:39" x14ac:dyDescent="0.35">
      <c r="A147" s="5"/>
      <c r="B147" s="6"/>
      <c r="C147" s="5"/>
      <c r="D147" s="5"/>
      <c r="E147" s="7"/>
      <c r="F147" s="7"/>
      <c r="G147" s="7"/>
      <c r="H147" s="8"/>
      <c r="I147" s="9"/>
      <c r="J147" s="8"/>
      <c r="K147" s="7"/>
      <c r="L147" s="7"/>
      <c r="M147" s="7"/>
      <c r="N147" s="7"/>
      <c r="O147" s="7"/>
      <c r="P147" s="7"/>
      <c r="Q147" s="7"/>
      <c r="R147" s="7"/>
      <c r="S147" s="7"/>
      <c r="T147" s="10"/>
      <c r="U147" s="7"/>
      <c r="V147" s="9"/>
      <c r="W147" s="9"/>
      <c r="X147" s="7"/>
      <c r="Y147" s="10"/>
      <c r="Z147" s="10"/>
      <c r="AA147" s="7"/>
      <c r="AB147" s="7"/>
      <c r="AC147" s="7"/>
      <c r="AD147" s="7"/>
      <c r="AE147" s="7"/>
      <c r="AF147" s="7"/>
      <c r="AG147" s="11"/>
      <c r="AH147" s="5"/>
      <c r="AI147" s="5"/>
      <c r="AJ147" s="5"/>
      <c r="AK147" s="5"/>
      <c r="AL147" s="5"/>
      <c r="AM147" s="6"/>
    </row>
    <row r="148" spans="1:39" x14ac:dyDescent="0.35">
      <c r="A148" s="5"/>
      <c r="B148" s="6"/>
      <c r="C148" s="5"/>
      <c r="D148" s="5"/>
      <c r="E148" s="7"/>
      <c r="F148" s="7"/>
      <c r="G148" s="7"/>
      <c r="H148" s="8"/>
      <c r="I148" s="9"/>
      <c r="J148" s="8"/>
      <c r="K148" s="7"/>
      <c r="L148" s="7"/>
      <c r="M148" s="7"/>
      <c r="N148" s="7"/>
      <c r="O148" s="7"/>
      <c r="P148" s="7"/>
      <c r="Q148" s="7"/>
      <c r="R148" s="7"/>
      <c r="S148" s="7"/>
      <c r="T148" s="10"/>
      <c r="U148" s="7"/>
      <c r="V148" s="9"/>
      <c r="W148" s="9"/>
      <c r="X148" s="7"/>
      <c r="Y148" s="10"/>
      <c r="Z148" s="10"/>
      <c r="AA148" s="7"/>
      <c r="AB148" s="7"/>
      <c r="AC148" s="7"/>
      <c r="AD148" s="7"/>
      <c r="AE148" s="7"/>
      <c r="AF148" s="7"/>
      <c r="AG148" s="11"/>
      <c r="AH148" s="5"/>
      <c r="AI148" s="5"/>
      <c r="AJ148" s="5"/>
      <c r="AK148" s="5"/>
      <c r="AL148" s="5"/>
      <c r="AM148" s="6"/>
    </row>
    <row r="149" spans="1:39" x14ac:dyDescent="0.35">
      <c r="A149" s="5"/>
      <c r="B149" s="6"/>
      <c r="C149" s="5"/>
      <c r="D149" s="5"/>
      <c r="E149" s="7"/>
      <c r="F149" s="7"/>
      <c r="G149" s="7"/>
      <c r="H149" s="8"/>
      <c r="I149" s="9"/>
      <c r="J149" s="8"/>
      <c r="K149" s="7"/>
      <c r="L149" s="7"/>
      <c r="M149" s="7"/>
      <c r="N149" s="7"/>
      <c r="O149" s="7"/>
      <c r="P149" s="7"/>
      <c r="Q149" s="7"/>
      <c r="R149" s="7"/>
      <c r="S149" s="7"/>
      <c r="T149" s="10"/>
      <c r="U149" s="7"/>
      <c r="V149" s="9"/>
      <c r="W149" s="9"/>
      <c r="X149" s="7"/>
      <c r="Y149" s="10"/>
      <c r="Z149" s="10"/>
      <c r="AA149" s="7"/>
      <c r="AB149" s="7"/>
      <c r="AC149" s="7"/>
      <c r="AD149" s="7"/>
      <c r="AE149" s="7"/>
      <c r="AF149" s="7"/>
      <c r="AG149" s="11"/>
      <c r="AH149" s="5"/>
      <c r="AI149" s="5"/>
      <c r="AJ149" s="5"/>
      <c r="AK149" s="5"/>
      <c r="AL149" s="5"/>
      <c r="AM149" s="6"/>
    </row>
    <row r="150" spans="1:39" x14ac:dyDescent="0.35">
      <c r="A150" s="5"/>
      <c r="B150" s="6"/>
      <c r="C150" s="5"/>
      <c r="D150" s="5"/>
      <c r="E150" s="7"/>
      <c r="F150" s="7"/>
      <c r="G150" s="7"/>
      <c r="H150" s="8"/>
      <c r="I150" s="9"/>
      <c r="J150" s="8"/>
      <c r="K150" s="7"/>
      <c r="L150" s="7"/>
      <c r="M150" s="7"/>
      <c r="N150" s="7"/>
      <c r="O150" s="7"/>
      <c r="P150" s="7"/>
      <c r="Q150" s="7"/>
      <c r="R150" s="7"/>
      <c r="S150" s="7"/>
      <c r="T150" s="10"/>
      <c r="U150" s="7"/>
      <c r="V150" s="9"/>
      <c r="W150" s="9"/>
      <c r="X150" s="7"/>
      <c r="Y150" s="10"/>
      <c r="Z150" s="10"/>
      <c r="AA150" s="7"/>
      <c r="AB150" s="7"/>
      <c r="AC150" s="7"/>
      <c r="AD150" s="7"/>
      <c r="AE150" s="7"/>
      <c r="AF150" s="7"/>
      <c r="AG150" s="11"/>
      <c r="AH150" s="5"/>
      <c r="AI150" s="5"/>
      <c r="AJ150" s="5"/>
      <c r="AK150" s="5"/>
      <c r="AL150" s="5"/>
      <c r="AM150" s="6"/>
    </row>
    <row r="151" spans="1:39" x14ac:dyDescent="0.35">
      <c r="A151" s="5"/>
      <c r="B151" s="6"/>
      <c r="C151" s="5"/>
      <c r="D151" s="5"/>
      <c r="E151" s="7"/>
      <c r="F151" s="7"/>
      <c r="G151" s="7"/>
      <c r="H151" s="8"/>
      <c r="I151" s="9"/>
      <c r="J151" s="8"/>
      <c r="K151" s="7"/>
      <c r="L151" s="7"/>
      <c r="M151" s="7"/>
      <c r="N151" s="7"/>
      <c r="O151" s="7"/>
      <c r="P151" s="7"/>
      <c r="Q151" s="7"/>
      <c r="R151" s="7"/>
      <c r="S151" s="7"/>
      <c r="T151" s="10"/>
      <c r="U151" s="7"/>
      <c r="V151" s="9"/>
      <c r="W151" s="9"/>
      <c r="X151" s="7"/>
      <c r="Y151" s="10"/>
      <c r="Z151" s="10"/>
      <c r="AA151" s="7"/>
      <c r="AB151" s="7"/>
      <c r="AC151" s="7"/>
      <c r="AD151" s="7"/>
      <c r="AE151" s="7"/>
      <c r="AF151" s="7"/>
      <c r="AG151" s="11"/>
      <c r="AH151" s="5"/>
      <c r="AI151" s="5"/>
      <c r="AJ151" s="5"/>
      <c r="AK151" s="5"/>
      <c r="AL151" s="5"/>
      <c r="AM151" s="6"/>
    </row>
    <row r="152" spans="1:39" x14ac:dyDescent="0.35">
      <c r="A152" s="5"/>
      <c r="B152" s="6"/>
      <c r="C152" s="5"/>
      <c r="D152" s="5"/>
      <c r="E152" s="7"/>
      <c r="F152" s="7"/>
      <c r="G152" s="7"/>
      <c r="H152" s="8"/>
      <c r="I152" s="9"/>
      <c r="J152" s="8"/>
      <c r="K152" s="7"/>
      <c r="L152" s="7"/>
      <c r="M152" s="7"/>
      <c r="N152" s="7"/>
      <c r="O152" s="7"/>
      <c r="P152" s="7"/>
      <c r="Q152" s="7"/>
      <c r="R152" s="7"/>
      <c r="S152" s="7"/>
      <c r="T152" s="10"/>
      <c r="U152" s="7"/>
      <c r="V152" s="9"/>
      <c r="W152" s="9"/>
      <c r="X152" s="7"/>
      <c r="Y152" s="10"/>
      <c r="Z152" s="10"/>
      <c r="AA152" s="7"/>
      <c r="AB152" s="7"/>
      <c r="AC152" s="7"/>
      <c r="AD152" s="7"/>
      <c r="AE152" s="7"/>
      <c r="AF152" s="7"/>
      <c r="AG152" s="11"/>
      <c r="AH152" s="5"/>
      <c r="AI152" s="5"/>
      <c r="AJ152" s="5"/>
      <c r="AK152" s="5"/>
      <c r="AL152" s="5"/>
      <c r="AM152" s="6"/>
    </row>
    <row r="153" spans="1:39" x14ac:dyDescent="0.35">
      <c r="A153" s="5"/>
      <c r="B153" s="6"/>
      <c r="C153" s="5"/>
      <c r="D153" s="5"/>
      <c r="E153" s="7"/>
      <c r="F153" s="7"/>
      <c r="G153" s="7"/>
      <c r="H153" s="8"/>
      <c r="I153" s="9"/>
      <c r="J153" s="8"/>
      <c r="K153" s="7"/>
      <c r="L153" s="7"/>
      <c r="M153" s="7"/>
      <c r="N153" s="7"/>
      <c r="O153" s="7"/>
      <c r="P153" s="7"/>
      <c r="Q153" s="7"/>
      <c r="R153" s="7"/>
      <c r="S153" s="7"/>
      <c r="T153" s="10"/>
      <c r="U153" s="7"/>
      <c r="V153" s="9"/>
      <c r="W153" s="9"/>
      <c r="X153" s="7"/>
      <c r="Y153" s="10"/>
      <c r="Z153" s="10"/>
      <c r="AA153" s="7"/>
      <c r="AB153" s="7"/>
      <c r="AC153" s="7"/>
      <c r="AD153" s="7"/>
      <c r="AE153" s="7"/>
      <c r="AF153" s="7"/>
      <c r="AG153" s="11"/>
      <c r="AH153" s="5"/>
      <c r="AI153" s="5"/>
      <c r="AJ153" s="5"/>
      <c r="AK153" s="5"/>
      <c r="AL153" s="5"/>
      <c r="AM153" s="6"/>
    </row>
    <row r="154" spans="1:39" x14ac:dyDescent="0.35">
      <c r="A154" s="5"/>
      <c r="B154" s="6"/>
      <c r="C154" s="5"/>
      <c r="D154" s="5"/>
      <c r="E154" s="7"/>
      <c r="F154" s="7"/>
      <c r="G154" s="7"/>
      <c r="H154" s="8"/>
      <c r="I154" s="9"/>
      <c r="J154" s="8"/>
      <c r="K154" s="7"/>
      <c r="L154" s="7"/>
      <c r="M154" s="7"/>
      <c r="N154" s="7"/>
      <c r="O154" s="7"/>
      <c r="P154" s="7"/>
      <c r="Q154" s="7"/>
      <c r="R154" s="7"/>
      <c r="S154" s="7"/>
      <c r="T154" s="10"/>
      <c r="U154" s="7"/>
      <c r="V154" s="9"/>
      <c r="W154" s="9"/>
      <c r="X154" s="7"/>
      <c r="Y154" s="10"/>
      <c r="Z154" s="10"/>
      <c r="AA154" s="7"/>
      <c r="AB154" s="7"/>
      <c r="AC154" s="7"/>
      <c r="AD154" s="7"/>
      <c r="AE154" s="7"/>
      <c r="AF154" s="7"/>
      <c r="AG154" s="11"/>
      <c r="AH154" s="5"/>
      <c r="AI154" s="5"/>
      <c r="AJ154" s="5"/>
      <c r="AK154" s="5"/>
      <c r="AL154" s="5"/>
      <c r="AM154" s="6"/>
    </row>
    <row r="155" spans="1:39" x14ac:dyDescent="0.35">
      <c r="A155" s="5"/>
      <c r="B155" s="6"/>
      <c r="C155" s="5"/>
      <c r="D155" s="5"/>
      <c r="E155" s="7"/>
      <c r="F155" s="7"/>
      <c r="G155" s="7"/>
      <c r="H155" s="8"/>
      <c r="I155" s="9"/>
      <c r="J155" s="8"/>
      <c r="K155" s="7"/>
      <c r="L155" s="7"/>
      <c r="M155" s="7"/>
      <c r="N155" s="7"/>
      <c r="O155" s="7"/>
      <c r="P155" s="7"/>
      <c r="Q155" s="7"/>
      <c r="R155" s="7"/>
      <c r="S155" s="7"/>
      <c r="T155" s="10"/>
      <c r="U155" s="7"/>
      <c r="V155" s="9"/>
      <c r="W155" s="9"/>
      <c r="X155" s="7"/>
      <c r="Y155" s="10"/>
      <c r="Z155" s="10"/>
      <c r="AA155" s="7"/>
      <c r="AB155" s="7"/>
      <c r="AC155" s="7"/>
      <c r="AD155" s="7"/>
      <c r="AE155" s="7"/>
      <c r="AF155" s="7"/>
      <c r="AG155" s="11"/>
      <c r="AH155" s="5"/>
      <c r="AI155" s="5"/>
      <c r="AJ155" s="5"/>
      <c r="AK155" s="5"/>
      <c r="AL155" s="5"/>
      <c r="AM155" s="6"/>
    </row>
    <row r="156" spans="1:39" x14ac:dyDescent="0.35">
      <c r="A156" s="5"/>
      <c r="B156" s="6"/>
      <c r="C156" s="5"/>
      <c r="D156" s="5"/>
      <c r="E156" s="7"/>
      <c r="F156" s="7"/>
      <c r="G156" s="7"/>
      <c r="H156" s="8"/>
      <c r="I156" s="9"/>
      <c r="J156" s="8"/>
      <c r="K156" s="7"/>
      <c r="L156" s="7"/>
      <c r="M156" s="7"/>
      <c r="N156" s="7"/>
      <c r="O156" s="7"/>
      <c r="P156" s="7"/>
      <c r="Q156" s="7"/>
      <c r="R156" s="7"/>
      <c r="S156" s="7"/>
      <c r="T156" s="10"/>
      <c r="U156" s="7"/>
      <c r="V156" s="9"/>
      <c r="W156" s="9"/>
      <c r="X156" s="7"/>
      <c r="Y156" s="10"/>
      <c r="Z156" s="10"/>
      <c r="AA156" s="7"/>
      <c r="AB156" s="7"/>
      <c r="AC156" s="7"/>
      <c r="AD156" s="7"/>
      <c r="AE156" s="7"/>
      <c r="AF156" s="7"/>
      <c r="AG156" s="11"/>
      <c r="AH156" s="5"/>
      <c r="AI156" s="5"/>
      <c r="AJ156" s="5"/>
      <c r="AK156" s="5"/>
      <c r="AL156" s="5"/>
      <c r="AM156" s="6"/>
    </row>
    <row r="157" spans="1:39" x14ac:dyDescent="0.35">
      <c r="A157" s="5"/>
      <c r="B157" s="6"/>
      <c r="C157" s="5"/>
      <c r="D157" s="5"/>
      <c r="E157" s="7"/>
      <c r="F157" s="7"/>
      <c r="G157" s="7"/>
      <c r="H157" s="8"/>
      <c r="I157" s="9"/>
      <c r="J157" s="8"/>
      <c r="K157" s="7"/>
      <c r="L157" s="7"/>
      <c r="M157" s="7"/>
      <c r="N157" s="7"/>
      <c r="O157" s="7"/>
      <c r="P157" s="7"/>
      <c r="Q157" s="7"/>
      <c r="R157" s="7"/>
      <c r="S157" s="7"/>
      <c r="T157" s="10"/>
      <c r="U157" s="7"/>
      <c r="V157" s="9"/>
      <c r="W157" s="9"/>
      <c r="X157" s="7"/>
      <c r="Y157" s="10"/>
      <c r="Z157" s="10"/>
      <c r="AA157" s="7"/>
      <c r="AB157" s="7"/>
      <c r="AC157" s="7"/>
      <c r="AD157" s="7"/>
      <c r="AE157" s="7"/>
      <c r="AF157" s="7"/>
      <c r="AG157" s="11"/>
      <c r="AH157" s="5"/>
      <c r="AI157" s="5"/>
      <c r="AJ157" s="5"/>
      <c r="AK157" s="5"/>
      <c r="AL157" s="5"/>
      <c r="AM157" s="6"/>
    </row>
    <row r="158" spans="1:39" x14ac:dyDescent="0.35">
      <c r="A158" s="5"/>
      <c r="B158" s="6"/>
      <c r="C158" s="5"/>
      <c r="D158" s="5"/>
      <c r="E158" s="7"/>
      <c r="F158" s="7"/>
      <c r="G158" s="7"/>
      <c r="H158" s="8"/>
      <c r="I158" s="9"/>
      <c r="J158" s="8"/>
      <c r="K158" s="7"/>
      <c r="L158" s="7"/>
      <c r="M158" s="7"/>
      <c r="N158" s="7"/>
      <c r="O158" s="7"/>
      <c r="P158" s="7"/>
      <c r="Q158" s="7"/>
      <c r="R158" s="7"/>
      <c r="S158" s="7"/>
      <c r="T158" s="10"/>
      <c r="U158" s="7"/>
      <c r="V158" s="9"/>
      <c r="W158" s="9"/>
      <c r="X158" s="7"/>
      <c r="Y158" s="10"/>
      <c r="Z158" s="10"/>
      <c r="AA158" s="7"/>
      <c r="AB158" s="7"/>
      <c r="AC158" s="7"/>
      <c r="AD158" s="7"/>
      <c r="AE158" s="7"/>
      <c r="AF158" s="7"/>
      <c r="AG158" s="11"/>
      <c r="AH158" s="5"/>
      <c r="AI158" s="5"/>
      <c r="AJ158" s="5"/>
      <c r="AK158" s="5"/>
      <c r="AL158" s="5"/>
      <c r="AM158" s="6"/>
    </row>
    <row r="159" spans="1:39" x14ac:dyDescent="0.35">
      <c r="A159" s="5"/>
      <c r="B159" s="6"/>
      <c r="C159" s="5"/>
      <c r="D159" s="5"/>
      <c r="E159" s="7"/>
      <c r="F159" s="7"/>
      <c r="G159" s="7"/>
      <c r="H159" s="8"/>
      <c r="I159" s="9"/>
      <c r="J159" s="8"/>
      <c r="K159" s="7"/>
      <c r="L159" s="7"/>
      <c r="M159" s="7"/>
      <c r="N159" s="7"/>
      <c r="O159" s="7"/>
      <c r="P159" s="7"/>
      <c r="Q159" s="7"/>
      <c r="R159" s="7"/>
      <c r="S159" s="7"/>
      <c r="T159" s="10"/>
      <c r="U159" s="7"/>
      <c r="V159" s="9"/>
      <c r="W159" s="9"/>
      <c r="X159" s="7"/>
      <c r="Y159" s="10"/>
      <c r="Z159" s="10"/>
      <c r="AA159" s="7"/>
      <c r="AB159" s="7"/>
      <c r="AC159" s="7"/>
      <c r="AD159" s="7"/>
      <c r="AE159" s="7"/>
      <c r="AF159" s="7"/>
      <c r="AG159" s="11"/>
      <c r="AH159" s="5"/>
      <c r="AI159" s="5"/>
      <c r="AJ159" s="5"/>
      <c r="AK159" s="5"/>
      <c r="AL159" s="5"/>
      <c r="AM159" s="6"/>
    </row>
    <row r="160" spans="1:39" x14ac:dyDescent="0.35">
      <c r="A160" s="5"/>
      <c r="B160" s="6"/>
      <c r="C160" s="5"/>
      <c r="D160" s="5"/>
      <c r="E160" s="7"/>
      <c r="F160" s="7"/>
      <c r="G160" s="7"/>
      <c r="H160" s="8"/>
      <c r="I160" s="9"/>
      <c r="J160" s="8"/>
      <c r="K160" s="7"/>
      <c r="L160" s="7"/>
      <c r="M160" s="7"/>
      <c r="N160" s="7"/>
      <c r="O160" s="7"/>
      <c r="P160" s="7"/>
      <c r="Q160" s="7"/>
      <c r="R160" s="7"/>
      <c r="S160" s="7"/>
      <c r="T160" s="10"/>
      <c r="U160" s="7"/>
      <c r="V160" s="9"/>
      <c r="W160" s="9"/>
      <c r="X160" s="7"/>
      <c r="Y160" s="10"/>
      <c r="Z160" s="10"/>
      <c r="AA160" s="7"/>
      <c r="AB160" s="7"/>
      <c r="AC160" s="7"/>
      <c r="AD160" s="7"/>
      <c r="AE160" s="7"/>
      <c r="AF160" s="7"/>
      <c r="AG160" s="11"/>
      <c r="AH160" s="5"/>
      <c r="AI160" s="5"/>
      <c r="AJ160" s="5"/>
      <c r="AK160" s="5"/>
      <c r="AL160" s="5"/>
      <c r="AM160" s="6"/>
    </row>
    <row r="161" spans="1:39" x14ac:dyDescent="0.35">
      <c r="A161" s="5"/>
      <c r="B161" s="6"/>
      <c r="C161" s="5"/>
      <c r="D161" s="5"/>
      <c r="E161" s="7"/>
      <c r="F161" s="7"/>
      <c r="G161" s="7"/>
      <c r="H161" s="8"/>
      <c r="I161" s="9"/>
      <c r="J161" s="8"/>
      <c r="K161" s="7"/>
      <c r="L161" s="7"/>
      <c r="M161" s="7"/>
      <c r="N161" s="7"/>
      <c r="O161" s="7"/>
      <c r="P161" s="7"/>
      <c r="Q161" s="7"/>
      <c r="R161" s="7"/>
      <c r="S161" s="7"/>
      <c r="T161" s="10"/>
      <c r="U161" s="7"/>
      <c r="V161" s="9"/>
      <c r="W161" s="9"/>
      <c r="X161" s="7"/>
      <c r="Y161" s="10"/>
      <c r="Z161" s="10"/>
      <c r="AA161" s="7"/>
      <c r="AB161" s="7"/>
      <c r="AC161" s="7"/>
      <c r="AD161" s="7"/>
      <c r="AE161" s="7"/>
      <c r="AF161" s="7"/>
      <c r="AG161" s="11"/>
      <c r="AH161" s="5"/>
      <c r="AI161" s="5"/>
      <c r="AJ161" s="5"/>
      <c r="AK161" s="5"/>
      <c r="AL161" s="5"/>
      <c r="AM161" s="6"/>
    </row>
    <row r="162" spans="1:39" x14ac:dyDescent="0.35">
      <c r="A162" s="5"/>
      <c r="B162" s="6"/>
      <c r="C162" s="5"/>
      <c r="D162" s="5"/>
      <c r="E162" s="7"/>
      <c r="F162" s="7"/>
      <c r="G162" s="7"/>
      <c r="H162" s="8"/>
      <c r="I162" s="9"/>
      <c r="J162" s="8"/>
      <c r="K162" s="7"/>
      <c r="L162" s="7"/>
      <c r="M162" s="7"/>
      <c r="N162" s="7"/>
      <c r="O162" s="7"/>
      <c r="P162" s="7"/>
      <c r="Q162" s="7"/>
      <c r="R162" s="7"/>
      <c r="S162" s="7"/>
      <c r="T162" s="10"/>
      <c r="U162" s="7"/>
      <c r="V162" s="9"/>
      <c r="W162" s="9"/>
      <c r="X162" s="7"/>
      <c r="Y162" s="10"/>
      <c r="Z162" s="10"/>
      <c r="AA162" s="7"/>
      <c r="AB162" s="7"/>
      <c r="AC162" s="7"/>
      <c r="AD162" s="7"/>
      <c r="AE162" s="7"/>
      <c r="AF162" s="7"/>
      <c r="AG162" s="11"/>
      <c r="AH162" s="5"/>
      <c r="AI162" s="5"/>
      <c r="AJ162" s="5"/>
      <c r="AK162" s="5"/>
      <c r="AL162" s="5"/>
      <c r="AM162" s="6"/>
    </row>
    <row r="163" spans="1:39" x14ac:dyDescent="0.35">
      <c r="A163" s="5"/>
      <c r="B163" s="6"/>
      <c r="C163" s="5"/>
      <c r="D163" s="5"/>
      <c r="E163" s="7"/>
      <c r="F163" s="7"/>
      <c r="G163" s="7"/>
      <c r="H163" s="8"/>
      <c r="I163" s="9"/>
      <c r="J163" s="8"/>
      <c r="K163" s="7"/>
      <c r="L163" s="7"/>
      <c r="M163" s="7"/>
      <c r="N163" s="7"/>
      <c r="O163" s="7"/>
      <c r="P163" s="7"/>
      <c r="Q163" s="7"/>
      <c r="R163" s="7"/>
      <c r="S163" s="7"/>
      <c r="T163" s="10"/>
      <c r="U163" s="7"/>
      <c r="V163" s="9"/>
      <c r="W163" s="9"/>
      <c r="X163" s="7"/>
      <c r="Y163" s="10"/>
      <c r="Z163" s="10"/>
      <c r="AA163" s="7"/>
      <c r="AB163" s="7"/>
      <c r="AC163" s="7"/>
      <c r="AD163" s="7"/>
      <c r="AE163" s="7"/>
      <c r="AF163" s="7"/>
      <c r="AG163" s="11"/>
      <c r="AH163" s="5"/>
      <c r="AI163" s="5"/>
      <c r="AJ163" s="5"/>
      <c r="AK163" s="5"/>
      <c r="AL163" s="5"/>
      <c r="AM163" s="6"/>
    </row>
    <row r="164" spans="1:39" x14ac:dyDescent="0.35">
      <c r="A164" s="5"/>
      <c r="B164" s="6"/>
      <c r="C164" s="5"/>
      <c r="D164" s="5"/>
      <c r="E164" s="7"/>
      <c r="F164" s="7"/>
      <c r="G164" s="7"/>
      <c r="H164" s="8"/>
      <c r="I164" s="9"/>
      <c r="J164" s="8"/>
      <c r="K164" s="7"/>
      <c r="L164" s="7"/>
      <c r="M164" s="7"/>
      <c r="N164" s="7"/>
      <c r="O164" s="7"/>
      <c r="P164" s="7"/>
      <c r="Q164" s="7"/>
      <c r="R164" s="7"/>
      <c r="S164" s="7"/>
      <c r="T164" s="10"/>
      <c r="U164" s="7"/>
      <c r="V164" s="9"/>
      <c r="W164" s="9"/>
      <c r="X164" s="7"/>
      <c r="Y164" s="10"/>
      <c r="Z164" s="10"/>
      <c r="AA164" s="7"/>
      <c r="AB164" s="7"/>
      <c r="AC164" s="7"/>
      <c r="AD164" s="7"/>
      <c r="AE164" s="7"/>
      <c r="AF164" s="7"/>
      <c r="AG164" s="11"/>
      <c r="AH164" s="5"/>
      <c r="AI164" s="5"/>
      <c r="AJ164" s="5"/>
      <c r="AK164" s="5"/>
      <c r="AL164" s="5"/>
      <c r="AM164" s="6"/>
    </row>
    <row r="165" spans="1:39" x14ac:dyDescent="0.35">
      <c r="A165" s="5"/>
      <c r="B165" s="6"/>
      <c r="C165" s="5"/>
      <c r="D165" s="5"/>
      <c r="E165" s="7"/>
      <c r="F165" s="7"/>
      <c r="G165" s="7"/>
      <c r="H165" s="8"/>
      <c r="I165" s="9"/>
      <c r="J165" s="8"/>
      <c r="K165" s="7"/>
      <c r="L165" s="7"/>
      <c r="M165" s="7"/>
      <c r="N165" s="7"/>
      <c r="O165" s="7"/>
      <c r="P165" s="7"/>
      <c r="Q165" s="7"/>
      <c r="R165" s="7"/>
      <c r="S165" s="7"/>
      <c r="T165" s="10"/>
      <c r="U165" s="7"/>
      <c r="V165" s="9"/>
      <c r="W165" s="9"/>
      <c r="X165" s="7"/>
      <c r="Y165" s="10"/>
      <c r="Z165" s="10"/>
      <c r="AA165" s="7"/>
      <c r="AB165" s="7"/>
      <c r="AC165" s="7"/>
      <c r="AD165" s="7"/>
      <c r="AE165" s="7"/>
      <c r="AF165" s="7"/>
      <c r="AG165" s="11"/>
      <c r="AH165" s="5"/>
      <c r="AI165" s="5"/>
      <c r="AJ165" s="5"/>
      <c r="AK165" s="5"/>
      <c r="AL165" s="5"/>
      <c r="AM165" s="6"/>
    </row>
    <row r="166" spans="1:39" x14ac:dyDescent="0.35">
      <c r="A166" s="5"/>
      <c r="B166" s="6"/>
      <c r="C166" s="5"/>
      <c r="D166" s="5"/>
      <c r="E166" s="7"/>
      <c r="F166" s="7"/>
      <c r="G166" s="7"/>
      <c r="H166" s="8"/>
      <c r="I166" s="9"/>
      <c r="J166" s="8"/>
      <c r="K166" s="7"/>
      <c r="L166" s="7"/>
      <c r="M166" s="7"/>
      <c r="N166" s="7"/>
      <c r="O166" s="7"/>
      <c r="P166" s="7"/>
      <c r="Q166" s="7"/>
      <c r="R166" s="7"/>
      <c r="S166" s="7"/>
      <c r="T166" s="10"/>
      <c r="U166" s="7"/>
      <c r="V166" s="9"/>
      <c r="W166" s="9"/>
      <c r="X166" s="7"/>
      <c r="Y166" s="10"/>
      <c r="Z166" s="10"/>
      <c r="AA166" s="7"/>
      <c r="AB166" s="7"/>
      <c r="AC166" s="7"/>
      <c r="AD166" s="7"/>
      <c r="AE166" s="7"/>
      <c r="AF166" s="7"/>
      <c r="AG166" s="11"/>
      <c r="AH166" s="5"/>
      <c r="AI166" s="5"/>
      <c r="AJ166" s="5"/>
      <c r="AK166" s="5"/>
      <c r="AL166" s="5"/>
      <c r="AM166" s="6"/>
    </row>
    <row r="167" spans="1:39" x14ac:dyDescent="0.35">
      <c r="A167" s="5"/>
      <c r="B167" s="6"/>
      <c r="C167" s="5"/>
      <c r="D167" s="5"/>
      <c r="E167" s="7"/>
      <c r="F167" s="7"/>
      <c r="G167" s="7"/>
      <c r="H167" s="8"/>
      <c r="I167" s="9"/>
      <c r="J167" s="8"/>
      <c r="K167" s="7"/>
      <c r="L167" s="7"/>
      <c r="M167" s="7"/>
      <c r="N167" s="7"/>
      <c r="O167" s="7"/>
      <c r="P167" s="7"/>
      <c r="Q167" s="7"/>
      <c r="R167" s="7"/>
      <c r="S167" s="7"/>
      <c r="T167" s="10"/>
      <c r="U167" s="7"/>
      <c r="V167" s="9"/>
      <c r="W167" s="9"/>
      <c r="X167" s="7"/>
      <c r="Y167" s="10"/>
      <c r="Z167" s="10"/>
      <c r="AA167" s="7"/>
      <c r="AB167" s="7"/>
      <c r="AC167" s="7"/>
      <c r="AD167" s="7"/>
      <c r="AE167" s="7"/>
      <c r="AF167" s="7"/>
      <c r="AG167" s="11"/>
      <c r="AH167" s="5"/>
      <c r="AI167" s="5"/>
      <c r="AJ167" s="5"/>
      <c r="AK167" s="5"/>
      <c r="AL167" s="5"/>
      <c r="AM167" s="6"/>
    </row>
    <row r="168" spans="1:39" x14ac:dyDescent="0.35">
      <c r="A168" s="5"/>
      <c r="B168" s="6"/>
      <c r="C168" s="5"/>
      <c r="D168" s="5"/>
      <c r="E168" s="7"/>
      <c r="F168" s="7"/>
      <c r="G168" s="7"/>
      <c r="H168" s="8"/>
      <c r="I168" s="9"/>
      <c r="J168" s="8"/>
      <c r="K168" s="7"/>
      <c r="L168" s="7"/>
      <c r="M168" s="7"/>
      <c r="N168" s="7"/>
      <c r="O168" s="7"/>
      <c r="P168" s="7"/>
      <c r="Q168" s="7"/>
      <c r="R168" s="7"/>
      <c r="S168" s="7"/>
      <c r="T168" s="10"/>
      <c r="U168" s="7"/>
      <c r="V168" s="9"/>
      <c r="W168" s="9"/>
      <c r="X168" s="7"/>
      <c r="Y168" s="10"/>
      <c r="Z168" s="10"/>
      <c r="AA168" s="7"/>
      <c r="AB168" s="7"/>
      <c r="AC168" s="7"/>
      <c r="AD168" s="7"/>
      <c r="AE168" s="7"/>
      <c r="AF168" s="7"/>
      <c r="AG168" s="11"/>
      <c r="AH168" s="5"/>
      <c r="AI168" s="5"/>
      <c r="AJ168" s="5"/>
      <c r="AK168" s="5"/>
      <c r="AL168" s="5"/>
      <c r="AM168" s="6"/>
    </row>
    <row r="169" spans="1:39" x14ac:dyDescent="0.35">
      <c r="A169" s="5"/>
      <c r="B169" s="6"/>
      <c r="C169" s="5"/>
      <c r="D169" s="5"/>
      <c r="E169" s="7"/>
      <c r="F169" s="7"/>
      <c r="G169" s="7"/>
      <c r="H169" s="8"/>
      <c r="I169" s="9"/>
      <c r="J169" s="8"/>
      <c r="K169" s="7"/>
      <c r="L169" s="7"/>
      <c r="M169" s="7"/>
      <c r="N169" s="7"/>
      <c r="O169" s="7"/>
      <c r="P169" s="7"/>
      <c r="Q169" s="7"/>
      <c r="R169" s="7"/>
      <c r="S169" s="7"/>
      <c r="T169" s="10"/>
      <c r="U169" s="7"/>
      <c r="V169" s="9"/>
      <c r="W169" s="9"/>
      <c r="X169" s="7"/>
      <c r="Y169" s="10"/>
      <c r="Z169" s="10"/>
      <c r="AA169" s="7"/>
      <c r="AB169" s="7"/>
      <c r="AC169" s="7"/>
      <c r="AD169" s="7"/>
      <c r="AE169" s="7"/>
      <c r="AF169" s="7"/>
      <c r="AG169" s="11"/>
      <c r="AH169" s="5"/>
      <c r="AI169" s="5"/>
      <c r="AJ169" s="5"/>
      <c r="AK169" s="5"/>
      <c r="AL169" s="5"/>
      <c r="AM169" s="6"/>
    </row>
    <row r="170" spans="1:39" x14ac:dyDescent="0.35">
      <c r="A170" s="5"/>
      <c r="B170" s="6"/>
      <c r="C170" s="5"/>
      <c r="D170" s="5"/>
      <c r="E170" s="7"/>
      <c r="F170" s="7"/>
      <c r="G170" s="7"/>
      <c r="H170" s="8"/>
      <c r="I170" s="9"/>
      <c r="J170" s="8"/>
      <c r="K170" s="7"/>
      <c r="L170" s="7"/>
      <c r="M170" s="7"/>
      <c r="N170" s="7"/>
      <c r="O170" s="7"/>
      <c r="P170" s="7"/>
      <c r="Q170" s="7"/>
      <c r="R170" s="7"/>
      <c r="S170" s="7"/>
      <c r="T170" s="10"/>
      <c r="U170" s="7"/>
      <c r="V170" s="9"/>
      <c r="W170" s="9"/>
      <c r="X170" s="7"/>
      <c r="Y170" s="10"/>
      <c r="Z170" s="10"/>
      <c r="AA170" s="7"/>
      <c r="AB170" s="7"/>
      <c r="AC170" s="7"/>
      <c r="AD170" s="7"/>
      <c r="AE170" s="7"/>
      <c r="AF170" s="7"/>
      <c r="AG170" s="11"/>
      <c r="AH170" s="5"/>
      <c r="AI170" s="5"/>
      <c r="AJ170" s="5"/>
      <c r="AK170" s="5"/>
      <c r="AL170" s="5"/>
      <c r="AM170" s="6"/>
    </row>
    <row r="171" spans="1:39" x14ac:dyDescent="0.35">
      <c r="A171" s="5"/>
      <c r="B171" s="6"/>
      <c r="C171" s="5"/>
      <c r="D171" s="5"/>
      <c r="E171" s="7"/>
      <c r="F171" s="7"/>
      <c r="G171" s="7"/>
      <c r="H171" s="8"/>
      <c r="I171" s="9"/>
      <c r="J171" s="8"/>
      <c r="K171" s="7"/>
      <c r="L171" s="7"/>
      <c r="M171" s="7"/>
      <c r="N171" s="7"/>
      <c r="O171" s="7"/>
      <c r="P171" s="7"/>
      <c r="Q171" s="7"/>
      <c r="R171" s="7"/>
      <c r="S171" s="7"/>
      <c r="T171" s="10"/>
      <c r="U171" s="7"/>
      <c r="V171" s="9"/>
      <c r="W171" s="9"/>
      <c r="X171" s="7"/>
      <c r="Y171" s="10"/>
      <c r="Z171" s="10"/>
      <c r="AA171" s="7"/>
      <c r="AB171" s="7"/>
      <c r="AC171" s="7"/>
      <c r="AD171" s="7"/>
      <c r="AE171" s="7"/>
      <c r="AF171" s="7"/>
      <c r="AG171" s="11"/>
      <c r="AH171" s="5"/>
      <c r="AI171" s="5"/>
      <c r="AJ171" s="5"/>
      <c r="AK171" s="5"/>
      <c r="AL171" s="5"/>
      <c r="AM171" s="6"/>
    </row>
    <row r="172" spans="1:39" x14ac:dyDescent="0.35">
      <c r="A172" s="5"/>
      <c r="B172" s="6"/>
      <c r="C172" s="5"/>
      <c r="D172" s="5"/>
      <c r="E172" s="7"/>
      <c r="F172" s="7"/>
      <c r="G172" s="7"/>
      <c r="H172" s="8"/>
      <c r="I172" s="9"/>
      <c r="J172" s="8"/>
      <c r="K172" s="7"/>
      <c r="L172" s="7"/>
      <c r="M172" s="7"/>
      <c r="N172" s="7"/>
      <c r="O172" s="7"/>
      <c r="P172" s="7"/>
      <c r="Q172" s="7"/>
      <c r="R172" s="7"/>
      <c r="S172" s="7"/>
      <c r="T172" s="10"/>
      <c r="U172" s="7"/>
      <c r="V172" s="9"/>
      <c r="W172" s="9"/>
      <c r="X172" s="7"/>
      <c r="Y172" s="10"/>
      <c r="Z172" s="10"/>
      <c r="AA172" s="7"/>
      <c r="AB172" s="7"/>
      <c r="AC172" s="7"/>
      <c r="AD172" s="7"/>
      <c r="AE172" s="7"/>
      <c r="AF172" s="7"/>
      <c r="AG172" s="11"/>
      <c r="AH172" s="5"/>
      <c r="AI172" s="5"/>
      <c r="AJ172" s="5"/>
      <c r="AK172" s="5"/>
      <c r="AL172" s="5"/>
      <c r="AM172" s="6"/>
    </row>
    <row r="173" spans="1:39" x14ac:dyDescent="0.35">
      <c r="A173" s="5"/>
      <c r="B173" s="6"/>
      <c r="C173" s="5"/>
      <c r="D173" s="5"/>
      <c r="E173" s="7"/>
      <c r="F173" s="7"/>
      <c r="G173" s="7"/>
      <c r="H173" s="8"/>
      <c r="I173" s="9"/>
      <c r="J173" s="8"/>
      <c r="K173" s="7"/>
      <c r="L173" s="7"/>
      <c r="M173" s="7"/>
      <c r="N173" s="7"/>
      <c r="O173" s="7"/>
      <c r="P173" s="7"/>
      <c r="Q173" s="7"/>
      <c r="R173" s="7"/>
      <c r="S173" s="7"/>
      <c r="T173" s="10"/>
      <c r="U173" s="7"/>
      <c r="V173" s="9"/>
      <c r="W173" s="9"/>
      <c r="X173" s="7"/>
      <c r="Y173" s="10"/>
      <c r="Z173" s="10"/>
      <c r="AA173" s="7"/>
      <c r="AB173" s="7"/>
      <c r="AC173" s="7"/>
      <c r="AD173" s="7"/>
      <c r="AE173" s="7"/>
      <c r="AF173" s="7"/>
      <c r="AG173" s="11"/>
      <c r="AH173" s="5"/>
      <c r="AI173" s="5"/>
      <c r="AJ173" s="5"/>
      <c r="AK173" s="5"/>
      <c r="AL173" s="5"/>
      <c r="AM173" s="6"/>
    </row>
    <row r="174" spans="1:39" x14ac:dyDescent="0.35">
      <c r="A174" s="5"/>
      <c r="B174" s="6"/>
      <c r="C174" s="5"/>
      <c r="D174" s="5"/>
      <c r="E174" s="7"/>
      <c r="F174" s="7"/>
      <c r="G174" s="7"/>
      <c r="H174" s="8"/>
      <c r="I174" s="9"/>
      <c r="J174" s="8"/>
      <c r="K174" s="7"/>
      <c r="L174" s="7"/>
      <c r="M174" s="7"/>
      <c r="N174" s="7"/>
      <c r="O174" s="7"/>
      <c r="P174" s="7"/>
      <c r="Q174" s="7"/>
      <c r="R174" s="7"/>
      <c r="S174" s="7"/>
      <c r="T174" s="10"/>
      <c r="U174" s="7"/>
      <c r="V174" s="9"/>
      <c r="W174" s="9"/>
      <c r="X174" s="7"/>
      <c r="Y174" s="10"/>
      <c r="Z174" s="10"/>
      <c r="AA174" s="7"/>
      <c r="AB174" s="7"/>
      <c r="AC174" s="7"/>
      <c r="AD174" s="7"/>
      <c r="AE174" s="7"/>
      <c r="AF174" s="7"/>
      <c r="AG174" s="11"/>
      <c r="AH174" s="5"/>
      <c r="AI174" s="5"/>
      <c r="AJ174" s="5"/>
      <c r="AK174" s="5"/>
      <c r="AL174" s="5"/>
      <c r="AM174" s="6"/>
    </row>
    <row r="175" spans="1:39" x14ac:dyDescent="0.35">
      <c r="A175" s="5"/>
      <c r="B175" s="6"/>
      <c r="C175" s="5"/>
      <c r="D175" s="5"/>
      <c r="E175" s="7"/>
      <c r="F175" s="7"/>
      <c r="G175" s="7"/>
      <c r="H175" s="8"/>
      <c r="I175" s="9"/>
      <c r="J175" s="8"/>
      <c r="K175" s="7"/>
      <c r="L175" s="7"/>
      <c r="M175" s="7"/>
      <c r="N175" s="7"/>
      <c r="O175" s="7"/>
      <c r="P175" s="7"/>
      <c r="Q175" s="7"/>
      <c r="R175" s="7"/>
      <c r="S175" s="7"/>
      <c r="T175" s="10"/>
      <c r="U175" s="7"/>
      <c r="V175" s="9"/>
      <c r="W175" s="9"/>
      <c r="X175" s="7"/>
      <c r="Y175" s="10"/>
      <c r="Z175" s="10"/>
      <c r="AA175" s="7"/>
      <c r="AB175" s="7"/>
      <c r="AC175" s="7"/>
      <c r="AD175" s="7"/>
      <c r="AE175" s="7"/>
      <c r="AF175" s="7"/>
      <c r="AG175" s="11"/>
      <c r="AH175" s="5"/>
      <c r="AI175" s="5"/>
      <c r="AJ175" s="5"/>
      <c r="AK175" s="5"/>
      <c r="AL175" s="5"/>
      <c r="AM175" s="6"/>
    </row>
    <row r="176" spans="1:39" x14ac:dyDescent="0.35">
      <c r="A176" s="5"/>
      <c r="B176" s="6"/>
      <c r="C176" s="5"/>
      <c r="D176" s="5"/>
      <c r="E176" s="7"/>
      <c r="F176" s="7"/>
      <c r="G176" s="7"/>
      <c r="H176" s="8"/>
      <c r="I176" s="9"/>
      <c r="J176" s="8"/>
      <c r="K176" s="7"/>
      <c r="L176" s="7"/>
      <c r="M176" s="7"/>
      <c r="N176" s="7"/>
      <c r="O176" s="7"/>
      <c r="P176" s="7"/>
      <c r="Q176" s="7"/>
      <c r="R176" s="7"/>
      <c r="S176" s="7"/>
      <c r="T176" s="10"/>
      <c r="U176" s="7"/>
      <c r="V176" s="9"/>
      <c r="W176" s="9"/>
      <c r="X176" s="7"/>
      <c r="Y176" s="10"/>
      <c r="Z176" s="10"/>
      <c r="AA176" s="7"/>
      <c r="AB176" s="7"/>
      <c r="AC176" s="7"/>
      <c r="AD176" s="7"/>
      <c r="AE176" s="7"/>
      <c r="AF176" s="7"/>
      <c r="AG176" s="11"/>
      <c r="AH176" s="5"/>
      <c r="AI176" s="5"/>
      <c r="AJ176" s="5"/>
      <c r="AK176" s="5"/>
      <c r="AL176" s="5"/>
      <c r="AM176" s="6"/>
    </row>
    <row r="177" spans="1:39" x14ac:dyDescent="0.35">
      <c r="A177" s="5"/>
      <c r="B177" s="6"/>
      <c r="C177" s="5"/>
      <c r="D177" s="5"/>
      <c r="E177" s="7"/>
      <c r="F177" s="7"/>
      <c r="G177" s="7"/>
      <c r="H177" s="8"/>
      <c r="I177" s="9"/>
      <c r="J177" s="8"/>
      <c r="K177" s="7"/>
      <c r="L177" s="7"/>
      <c r="M177" s="7"/>
      <c r="N177" s="7"/>
      <c r="O177" s="7"/>
      <c r="P177" s="7"/>
      <c r="Q177" s="7"/>
      <c r="R177" s="7"/>
      <c r="S177" s="7"/>
      <c r="T177" s="10"/>
      <c r="U177" s="7"/>
      <c r="V177" s="9"/>
      <c r="W177" s="9"/>
      <c r="X177" s="7"/>
      <c r="Y177" s="10"/>
      <c r="Z177" s="10"/>
      <c r="AA177" s="7"/>
      <c r="AB177" s="7"/>
      <c r="AC177" s="7"/>
      <c r="AD177" s="7"/>
      <c r="AE177" s="7"/>
      <c r="AF177" s="7"/>
      <c r="AG177" s="11"/>
      <c r="AH177" s="5"/>
      <c r="AI177" s="5"/>
      <c r="AJ177" s="5"/>
      <c r="AK177" s="5"/>
      <c r="AL177" s="5"/>
      <c r="AM177" s="6"/>
    </row>
    <row r="178" spans="1:39" x14ac:dyDescent="0.35">
      <c r="A178" s="5"/>
      <c r="B178" s="6"/>
      <c r="C178" s="5"/>
      <c r="D178" s="5"/>
      <c r="E178" s="7"/>
      <c r="F178" s="7"/>
      <c r="G178" s="7"/>
      <c r="H178" s="8"/>
      <c r="I178" s="9"/>
      <c r="J178" s="8"/>
      <c r="K178" s="7"/>
      <c r="L178" s="7"/>
      <c r="M178" s="7"/>
      <c r="N178" s="7"/>
      <c r="O178" s="7"/>
      <c r="P178" s="7"/>
      <c r="Q178" s="7"/>
      <c r="R178" s="7"/>
      <c r="S178" s="7"/>
      <c r="T178" s="10"/>
      <c r="U178" s="7"/>
      <c r="V178" s="9"/>
      <c r="W178" s="9"/>
      <c r="X178" s="7"/>
      <c r="Y178" s="10"/>
      <c r="Z178" s="10"/>
      <c r="AA178" s="7"/>
      <c r="AB178" s="7"/>
      <c r="AC178" s="7"/>
      <c r="AD178" s="7"/>
      <c r="AE178" s="7"/>
      <c r="AF178" s="7"/>
      <c r="AG178" s="11"/>
      <c r="AH178" s="5"/>
      <c r="AI178" s="5"/>
      <c r="AJ178" s="5"/>
      <c r="AK178" s="5"/>
      <c r="AL178" s="5"/>
      <c r="AM178" s="6"/>
    </row>
    <row r="179" spans="1:39" x14ac:dyDescent="0.35">
      <c r="A179" s="5"/>
      <c r="B179" s="6"/>
      <c r="C179" s="5"/>
      <c r="D179" s="5"/>
      <c r="E179" s="7"/>
      <c r="F179" s="7"/>
      <c r="G179" s="7"/>
      <c r="H179" s="8"/>
      <c r="I179" s="9"/>
      <c r="J179" s="8"/>
      <c r="K179" s="7"/>
      <c r="L179" s="7"/>
      <c r="M179" s="7"/>
      <c r="N179" s="7"/>
      <c r="O179" s="7"/>
      <c r="P179" s="7"/>
      <c r="Q179" s="7"/>
      <c r="R179" s="7"/>
      <c r="S179" s="7"/>
      <c r="T179" s="10"/>
      <c r="U179" s="7"/>
      <c r="V179" s="9"/>
      <c r="W179" s="9"/>
      <c r="X179" s="7"/>
      <c r="Y179" s="10"/>
      <c r="Z179" s="10"/>
      <c r="AA179" s="7"/>
      <c r="AB179" s="7"/>
      <c r="AC179" s="7"/>
      <c r="AD179" s="7"/>
      <c r="AE179" s="7"/>
      <c r="AF179" s="7"/>
      <c r="AG179" s="11"/>
      <c r="AH179" s="5"/>
      <c r="AI179" s="5"/>
      <c r="AJ179" s="5"/>
      <c r="AK179" s="5"/>
      <c r="AL179" s="5"/>
      <c r="AM179" s="6"/>
    </row>
    <row r="180" spans="1:39" x14ac:dyDescent="0.35">
      <c r="A180" s="5"/>
      <c r="B180" s="6"/>
      <c r="C180" s="5"/>
      <c r="D180" s="5"/>
      <c r="E180" s="7"/>
      <c r="F180" s="7"/>
      <c r="G180" s="7"/>
      <c r="H180" s="8"/>
      <c r="I180" s="9"/>
      <c r="J180" s="8"/>
      <c r="K180" s="7"/>
      <c r="L180" s="7"/>
      <c r="M180" s="7"/>
      <c r="N180" s="7"/>
      <c r="O180" s="7"/>
      <c r="P180" s="7"/>
      <c r="Q180" s="7"/>
      <c r="R180" s="7"/>
      <c r="S180" s="7"/>
      <c r="T180" s="10"/>
      <c r="U180" s="7"/>
      <c r="V180" s="9"/>
      <c r="W180" s="9"/>
      <c r="X180" s="7"/>
      <c r="Y180" s="10"/>
      <c r="Z180" s="10"/>
      <c r="AA180" s="7"/>
      <c r="AB180" s="7"/>
      <c r="AC180" s="7"/>
      <c r="AD180" s="7"/>
      <c r="AE180" s="7"/>
      <c r="AF180" s="7"/>
      <c r="AG180" s="11"/>
      <c r="AH180" s="5"/>
      <c r="AI180" s="5"/>
      <c r="AJ180" s="5"/>
      <c r="AK180" s="5"/>
      <c r="AL180" s="5"/>
      <c r="AM180" s="6"/>
    </row>
    <row r="181" spans="1:39" x14ac:dyDescent="0.35">
      <c r="A181" s="5"/>
      <c r="B181" s="6"/>
      <c r="C181" s="5"/>
      <c r="D181" s="5"/>
      <c r="E181" s="7"/>
      <c r="F181" s="7"/>
      <c r="G181" s="7"/>
      <c r="H181" s="8"/>
      <c r="I181" s="9"/>
      <c r="J181" s="8"/>
      <c r="K181" s="7"/>
      <c r="L181" s="7"/>
      <c r="M181" s="7"/>
      <c r="N181" s="7"/>
      <c r="O181" s="7"/>
      <c r="P181" s="7"/>
      <c r="Q181" s="7"/>
      <c r="R181" s="7"/>
      <c r="S181" s="7"/>
      <c r="T181" s="10"/>
      <c r="U181" s="7"/>
      <c r="V181" s="9"/>
      <c r="W181" s="9"/>
      <c r="X181" s="7"/>
      <c r="Y181" s="10"/>
      <c r="Z181" s="10"/>
      <c r="AA181" s="7"/>
      <c r="AB181" s="7"/>
      <c r="AC181" s="7"/>
      <c r="AD181" s="7"/>
      <c r="AE181" s="7"/>
      <c r="AF181" s="7"/>
      <c r="AG181" s="11"/>
      <c r="AH181" s="5"/>
      <c r="AI181" s="5"/>
      <c r="AJ181" s="5"/>
      <c r="AK181" s="5"/>
      <c r="AL181" s="5"/>
      <c r="AM181" s="6"/>
    </row>
    <row r="182" spans="1:39" x14ac:dyDescent="0.35">
      <c r="A182" s="5"/>
      <c r="B182" s="6"/>
      <c r="C182" s="5"/>
      <c r="D182" s="5"/>
      <c r="E182" s="7"/>
      <c r="F182" s="7"/>
      <c r="G182" s="7"/>
      <c r="H182" s="8"/>
      <c r="I182" s="9"/>
      <c r="J182" s="8"/>
      <c r="K182" s="7"/>
      <c r="L182" s="7"/>
      <c r="M182" s="7"/>
      <c r="N182" s="7"/>
      <c r="O182" s="7"/>
      <c r="P182" s="7"/>
      <c r="Q182" s="7"/>
      <c r="R182" s="7"/>
      <c r="S182" s="7"/>
      <c r="T182" s="10"/>
      <c r="U182" s="7"/>
      <c r="V182" s="9"/>
      <c r="W182" s="9"/>
      <c r="X182" s="7"/>
      <c r="Y182" s="10"/>
      <c r="Z182" s="10"/>
      <c r="AA182" s="7"/>
      <c r="AB182" s="7"/>
      <c r="AC182" s="7"/>
      <c r="AD182" s="7"/>
      <c r="AE182" s="7"/>
      <c r="AF182" s="7"/>
      <c r="AG182" s="11"/>
      <c r="AH182" s="5"/>
      <c r="AI182" s="5"/>
      <c r="AJ182" s="5"/>
      <c r="AK182" s="5"/>
      <c r="AL182" s="5"/>
      <c r="AM182" s="6"/>
    </row>
    <row r="183" spans="1:39" x14ac:dyDescent="0.35">
      <c r="A183" s="5"/>
      <c r="B183" s="6"/>
      <c r="C183" s="5"/>
      <c r="D183" s="5"/>
      <c r="E183" s="7"/>
      <c r="F183" s="7"/>
      <c r="G183" s="7"/>
      <c r="H183" s="8"/>
      <c r="I183" s="9"/>
      <c r="J183" s="8"/>
      <c r="K183" s="7"/>
      <c r="L183" s="7"/>
      <c r="M183" s="7"/>
      <c r="N183" s="7"/>
      <c r="O183" s="7"/>
      <c r="P183" s="7"/>
      <c r="Q183" s="7"/>
      <c r="R183" s="7"/>
      <c r="S183" s="7"/>
      <c r="T183" s="10"/>
      <c r="U183" s="7"/>
      <c r="V183" s="9"/>
      <c r="W183" s="9"/>
      <c r="X183" s="7"/>
      <c r="Y183" s="10"/>
      <c r="Z183" s="10"/>
      <c r="AA183" s="7"/>
      <c r="AB183" s="7"/>
      <c r="AC183" s="7"/>
      <c r="AD183" s="7"/>
      <c r="AE183" s="7"/>
      <c r="AF183" s="7"/>
      <c r="AG183" s="11"/>
      <c r="AH183" s="5"/>
      <c r="AI183" s="5"/>
      <c r="AJ183" s="5"/>
      <c r="AK183" s="5"/>
      <c r="AL183" s="5"/>
      <c r="AM183" s="6"/>
    </row>
    <row r="184" spans="1:39" x14ac:dyDescent="0.35">
      <c r="A184" s="5"/>
      <c r="B184" s="6"/>
      <c r="C184" s="5"/>
      <c r="D184" s="5"/>
      <c r="E184" s="7"/>
      <c r="F184" s="7"/>
      <c r="G184" s="7"/>
      <c r="H184" s="8"/>
      <c r="I184" s="9"/>
      <c r="J184" s="8"/>
      <c r="K184" s="7"/>
      <c r="L184" s="7"/>
      <c r="M184" s="7"/>
      <c r="N184" s="7"/>
      <c r="O184" s="7"/>
      <c r="P184" s="7"/>
      <c r="Q184" s="7"/>
      <c r="R184" s="7"/>
      <c r="S184" s="7"/>
      <c r="T184" s="10"/>
      <c r="U184" s="7"/>
      <c r="V184" s="9"/>
      <c r="W184" s="9"/>
      <c r="X184" s="7"/>
      <c r="Y184" s="10"/>
      <c r="Z184" s="10"/>
      <c r="AA184" s="7"/>
      <c r="AB184" s="7"/>
      <c r="AC184" s="7"/>
      <c r="AD184" s="7"/>
      <c r="AE184" s="7"/>
      <c r="AF184" s="7"/>
      <c r="AG184" s="11"/>
      <c r="AH184" s="5"/>
      <c r="AI184" s="5"/>
      <c r="AJ184" s="5"/>
      <c r="AK184" s="5"/>
      <c r="AL184" s="5"/>
      <c r="AM184" s="6"/>
    </row>
    <row r="185" spans="1:39" x14ac:dyDescent="0.35">
      <c r="A185" s="5"/>
      <c r="B185" s="6"/>
      <c r="C185" s="5"/>
      <c r="D185" s="5"/>
      <c r="E185" s="7"/>
      <c r="F185" s="7"/>
      <c r="G185" s="7"/>
      <c r="H185" s="8"/>
      <c r="I185" s="9"/>
      <c r="J185" s="8"/>
      <c r="K185" s="7"/>
      <c r="L185" s="7"/>
      <c r="M185" s="7"/>
      <c r="N185" s="7"/>
      <c r="O185" s="7"/>
      <c r="P185" s="7"/>
      <c r="Q185" s="7"/>
      <c r="R185" s="7"/>
      <c r="S185" s="7"/>
      <c r="T185" s="10"/>
      <c r="U185" s="7"/>
      <c r="V185" s="9"/>
      <c r="W185" s="9"/>
      <c r="X185" s="7"/>
      <c r="Y185" s="10"/>
      <c r="Z185" s="10"/>
      <c r="AA185" s="7"/>
      <c r="AB185" s="7"/>
      <c r="AC185" s="7"/>
      <c r="AD185" s="7"/>
      <c r="AE185" s="7"/>
      <c r="AF185" s="7"/>
      <c r="AG185" s="11"/>
      <c r="AH185" s="5"/>
      <c r="AI185" s="5"/>
      <c r="AJ185" s="5"/>
      <c r="AK185" s="5"/>
      <c r="AL185" s="5"/>
      <c r="AM185" s="6"/>
    </row>
    <row r="186" spans="1:39" x14ac:dyDescent="0.35">
      <c r="A186" s="5"/>
      <c r="B186" s="6"/>
      <c r="C186" s="5"/>
      <c r="D186" s="5"/>
      <c r="E186" s="7"/>
      <c r="F186" s="7"/>
      <c r="G186" s="7"/>
      <c r="H186" s="8"/>
      <c r="I186" s="9"/>
      <c r="J186" s="8"/>
      <c r="K186" s="7"/>
      <c r="L186" s="7"/>
      <c r="M186" s="7"/>
      <c r="N186" s="7"/>
      <c r="O186" s="7"/>
      <c r="P186" s="7"/>
      <c r="Q186" s="7"/>
      <c r="R186" s="7"/>
      <c r="S186" s="7"/>
      <c r="T186" s="10"/>
      <c r="U186" s="7"/>
      <c r="V186" s="9"/>
      <c r="W186" s="9"/>
      <c r="X186" s="7"/>
      <c r="Y186" s="10"/>
      <c r="Z186" s="10"/>
      <c r="AA186" s="7"/>
      <c r="AB186" s="7"/>
      <c r="AC186" s="7"/>
      <c r="AD186" s="7"/>
      <c r="AE186" s="7"/>
      <c r="AF186" s="7"/>
      <c r="AG186" s="11"/>
      <c r="AH186" s="5"/>
      <c r="AI186" s="5"/>
      <c r="AJ186" s="5"/>
      <c r="AK186" s="5"/>
      <c r="AL186" s="5"/>
      <c r="AM186" s="6"/>
    </row>
    <row r="187" spans="1:39" x14ac:dyDescent="0.35">
      <c r="A187" s="5"/>
      <c r="B187" s="6"/>
      <c r="C187" s="5"/>
      <c r="D187" s="5"/>
      <c r="E187" s="7"/>
      <c r="F187" s="7"/>
      <c r="G187" s="7"/>
      <c r="H187" s="8"/>
      <c r="I187" s="9"/>
      <c r="J187" s="8"/>
      <c r="K187" s="7"/>
      <c r="L187" s="7"/>
      <c r="M187" s="7"/>
      <c r="N187" s="7"/>
      <c r="O187" s="7"/>
      <c r="P187" s="7"/>
      <c r="Q187" s="7"/>
      <c r="R187" s="7"/>
      <c r="S187" s="7"/>
      <c r="T187" s="10"/>
      <c r="U187" s="7"/>
      <c r="V187" s="9"/>
      <c r="W187" s="9"/>
      <c r="X187" s="7"/>
      <c r="Y187" s="10"/>
      <c r="Z187" s="10"/>
      <c r="AA187" s="7"/>
      <c r="AB187" s="7"/>
      <c r="AC187" s="7"/>
      <c r="AD187" s="7"/>
      <c r="AE187" s="7"/>
      <c r="AF187" s="7"/>
      <c r="AG187" s="11"/>
      <c r="AH187" s="5"/>
      <c r="AI187" s="5"/>
      <c r="AJ187" s="5"/>
      <c r="AK187" s="5"/>
      <c r="AL187" s="5"/>
      <c r="AM187" s="6"/>
    </row>
    <row r="188" spans="1:39" x14ac:dyDescent="0.35">
      <c r="A188" s="5"/>
      <c r="B188" s="6"/>
      <c r="C188" s="5"/>
      <c r="D188" s="5"/>
      <c r="E188" s="7"/>
      <c r="F188" s="7"/>
      <c r="G188" s="7"/>
      <c r="H188" s="8"/>
      <c r="I188" s="9"/>
      <c r="J188" s="8"/>
      <c r="K188" s="7"/>
      <c r="L188" s="7"/>
      <c r="M188" s="7"/>
      <c r="N188" s="7"/>
      <c r="O188" s="7"/>
      <c r="P188" s="7"/>
      <c r="Q188" s="7"/>
      <c r="R188" s="7"/>
      <c r="S188" s="7"/>
      <c r="T188" s="10"/>
      <c r="U188" s="7"/>
      <c r="V188" s="9"/>
      <c r="W188" s="9"/>
      <c r="X188" s="7"/>
      <c r="Y188" s="10"/>
      <c r="Z188" s="10"/>
      <c r="AA188" s="7"/>
      <c r="AB188" s="7"/>
      <c r="AC188" s="7"/>
      <c r="AD188" s="7"/>
      <c r="AE188" s="7"/>
      <c r="AF188" s="7"/>
      <c r="AG188" s="11"/>
      <c r="AH188" s="5"/>
      <c r="AI188" s="5"/>
      <c r="AJ188" s="5"/>
      <c r="AK188" s="5"/>
      <c r="AL188" s="5"/>
      <c r="AM188" s="6"/>
    </row>
    <row r="189" spans="1:39" x14ac:dyDescent="0.35">
      <c r="A189" s="5"/>
      <c r="B189" s="6"/>
      <c r="C189" s="5"/>
      <c r="D189" s="5"/>
      <c r="E189" s="7"/>
      <c r="F189" s="7"/>
      <c r="G189" s="7"/>
      <c r="H189" s="8"/>
      <c r="I189" s="9"/>
      <c r="J189" s="8"/>
      <c r="K189" s="7"/>
      <c r="L189" s="7"/>
      <c r="M189" s="7"/>
      <c r="N189" s="7"/>
      <c r="O189" s="7"/>
      <c r="P189" s="7"/>
      <c r="Q189" s="7"/>
      <c r="R189" s="7"/>
      <c r="S189" s="7"/>
      <c r="T189" s="10"/>
      <c r="U189" s="7"/>
      <c r="V189" s="9"/>
      <c r="W189" s="9"/>
      <c r="X189" s="7"/>
      <c r="Y189" s="10"/>
      <c r="Z189" s="10"/>
      <c r="AA189" s="7"/>
      <c r="AB189" s="7"/>
      <c r="AC189" s="7"/>
      <c r="AD189" s="7"/>
      <c r="AE189" s="7"/>
      <c r="AF189" s="7"/>
      <c r="AG189" s="11"/>
      <c r="AH189" s="5"/>
      <c r="AI189" s="5"/>
      <c r="AJ189" s="5"/>
      <c r="AK189" s="5"/>
      <c r="AL189" s="5"/>
      <c r="AM189" s="6"/>
    </row>
    <row r="190" spans="1:39" x14ac:dyDescent="0.35">
      <c r="A190" s="5"/>
      <c r="B190" s="6"/>
      <c r="C190" s="5"/>
      <c r="D190" s="5"/>
      <c r="E190" s="7"/>
      <c r="F190" s="7"/>
      <c r="G190" s="7"/>
      <c r="H190" s="8"/>
      <c r="I190" s="9"/>
      <c r="J190" s="8"/>
      <c r="K190" s="7"/>
      <c r="L190" s="7"/>
      <c r="M190" s="7"/>
      <c r="N190" s="7"/>
      <c r="O190" s="7"/>
      <c r="P190" s="7"/>
      <c r="Q190" s="7"/>
      <c r="R190" s="7"/>
      <c r="S190" s="7"/>
      <c r="T190" s="10"/>
      <c r="U190" s="7"/>
      <c r="V190" s="9"/>
      <c r="W190" s="9"/>
      <c r="X190" s="7"/>
      <c r="Y190" s="10"/>
      <c r="Z190" s="10"/>
      <c r="AA190" s="7"/>
      <c r="AB190" s="7"/>
      <c r="AC190" s="7"/>
      <c r="AD190" s="7"/>
      <c r="AE190" s="7"/>
      <c r="AF190" s="7"/>
      <c r="AG190" s="11"/>
      <c r="AH190" s="5"/>
      <c r="AI190" s="5"/>
      <c r="AJ190" s="5"/>
      <c r="AK190" s="5"/>
      <c r="AL190" s="5"/>
      <c r="AM190" s="6"/>
    </row>
    <row r="191" spans="1:39" x14ac:dyDescent="0.35">
      <c r="A191" s="5"/>
      <c r="B191" s="6"/>
      <c r="C191" s="5"/>
      <c r="D191" s="5"/>
      <c r="E191" s="7"/>
      <c r="F191" s="7"/>
      <c r="G191" s="7"/>
      <c r="H191" s="8"/>
      <c r="I191" s="9"/>
      <c r="J191" s="8"/>
      <c r="K191" s="7"/>
      <c r="L191" s="7"/>
      <c r="M191" s="7"/>
      <c r="N191" s="7"/>
      <c r="O191" s="7"/>
      <c r="P191" s="7"/>
      <c r="Q191" s="7"/>
      <c r="R191" s="7"/>
      <c r="S191" s="7"/>
      <c r="T191" s="10"/>
      <c r="U191" s="7"/>
      <c r="V191" s="9"/>
      <c r="W191" s="9"/>
      <c r="X191" s="7"/>
      <c r="Y191" s="10"/>
      <c r="Z191" s="10"/>
      <c r="AA191" s="7"/>
      <c r="AB191" s="7"/>
      <c r="AC191" s="7"/>
      <c r="AD191" s="7"/>
      <c r="AE191" s="7"/>
      <c r="AF191" s="7"/>
      <c r="AG191" s="11"/>
      <c r="AH191" s="5"/>
      <c r="AI191" s="5"/>
      <c r="AJ191" s="5"/>
      <c r="AK191" s="5"/>
      <c r="AL191" s="5"/>
      <c r="AM191" s="6"/>
    </row>
    <row r="192" spans="1:39" x14ac:dyDescent="0.35">
      <c r="A192" s="5"/>
      <c r="B192" s="6"/>
      <c r="C192" s="5"/>
      <c r="D192" s="5"/>
      <c r="E192" s="7"/>
      <c r="F192" s="7"/>
      <c r="G192" s="7"/>
      <c r="H192" s="8"/>
      <c r="I192" s="9"/>
      <c r="J192" s="8"/>
      <c r="K192" s="7"/>
      <c r="L192" s="7"/>
      <c r="M192" s="7"/>
      <c r="N192" s="7"/>
      <c r="O192" s="7"/>
      <c r="P192" s="7"/>
      <c r="Q192" s="7"/>
      <c r="R192" s="7"/>
      <c r="S192" s="7"/>
      <c r="T192" s="10"/>
      <c r="U192" s="7"/>
      <c r="V192" s="9"/>
      <c r="W192" s="9"/>
      <c r="X192" s="7"/>
      <c r="Y192" s="10"/>
      <c r="Z192" s="10"/>
      <c r="AA192" s="7"/>
      <c r="AB192" s="7"/>
      <c r="AC192" s="7"/>
      <c r="AD192" s="7"/>
      <c r="AE192" s="7"/>
      <c r="AF192" s="7"/>
      <c r="AG192" s="11"/>
      <c r="AH192" s="5"/>
      <c r="AI192" s="5"/>
      <c r="AJ192" s="5"/>
      <c r="AK192" s="5"/>
      <c r="AL192" s="5"/>
      <c r="AM192" s="6"/>
    </row>
    <row r="193" spans="1:39" x14ac:dyDescent="0.35">
      <c r="A193" s="5"/>
      <c r="B193" s="6"/>
      <c r="C193" s="5"/>
      <c r="D193" s="5"/>
      <c r="E193" s="7"/>
      <c r="F193" s="7"/>
      <c r="G193" s="7"/>
      <c r="H193" s="8"/>
      <c r="I193" s="9"/>
      <c r="J193" s="8"/>
      <c r="K193" s="7"/>
      <c r="L193" s="7"/>
      <c r="M193" s="7"/>
      <c r="N193" s="7"/>
      <c r="O193" s="7"/>
      <c r="P193" s="7"/>
      <c r="Q193" s="7"/>
      <c r="R193" s="7"/>
      <c r="S193" s="7"/>
      <c r="T193" s="10"/>
      <c r="U193" s="7"/>
      <c r="V193" s="9"/>
      <c r="W193" s="9"/>
      <c r="X193" s="7"/>
      <c r="Y193" s="10"/>
      <c r="Z193" s="10"/>
      <c r="AA193" s="7"/>
      <c r="AB193" s="7"/>
      <c r="AC193" s="7"/>
      <c r="AD193" s="7"/>
      <c r="AE193" s="7"/>
      <c r="AF193" s="7"/>
      <c r="AG193" s="11"/>
      <c r="AH193" s="5"/>
      <c r="AI193" s="5"/>
      <c r="AJ193" s="5"/>
      <c r="AK193" s="5"/>
      <c r="AL193" s="5"/>
      <c r="AM193" s="6"/>
    </row>
    <row r="194" spans="1:39" x14ac:dyDescent="0.35">
      <c r="A194" s="5"/>
      <c r="B194" s="6"/>
      <c r="C194" s="5"/>
      <c r="D194" s="5"/>
      <c r="E194" s="7"/>
      <c r="F194" s="7"/>
      <c r="G194" s="7"/>
      <c r="H194" s="8"/>
      <c r="I194" s="9"/>
      <c r="J194" s="8"/>
      <c r="K194" s="7"/>
      <c r="L194" s="7"/>
      <c r="M194" s="7"/>
      <c r="N194" s="7"/>
      <c r="O194" s="7"/>
      <c r="P194" s="7"/>
      <c r="Q194" s="7"/>
      <c r="R194" s="7"/>
      <c r="S194" s="7"/>
      <c r="T194" s="10"/>
      <c r="U194" s="7"/>
      <c r="V194" s="9"/>
      <c r="W194" s="9"/>
      <c r="X194" s="7"/>
      <c r="Y194" s="10"/>
      <c r="Z194" s="10"/>
      <c r="AA194" s="7"/>
      <c r="AB194" s="7"/>
      <c r="AC194" s="7"/>
      <c r="AD194" s="7"/>
      <c r="AE194" s="7"/>
      <c r="AF194" s="7"/>
      <c r="AG194" s="11"/>
      <c r="AH194" s="5"/>
      <c r="AI194" s="5"/>
      <c r="AJ194" s="5"/>
      <c r="AK194" s="5"/>
      <c r="AL194" s="5"/>
      <c r="AM194" s="6"/>
    </row>
    <row r="195" spans="1:39" x14ac:dyDescent="0.35">
      <c r="A195" s="5"/>
      <c r="B195" s="6"/>
      <c r="C195" s="5"/>
      <c r="D195" s="5"/>
      <c r="E195" s="7"/>
      <c r="F195" s="7"/>
      <c r="G195" s="7"/>
      <c r="H195" s="8"/>
      <c r="I195" s="9"/>
      <c r="J195" s="8"/>
      <c r="K195" s="7"/>
      <c r="L195" s="7"/>
      <c r="M195" s="7"/>
      <c r="N195" s="7"/>
      <c r="O195" s="7"/>
      <c r="P195" s="7"/>
      <c r="Q195" s="7"/>
      <c r="R195" s="7"/>
      <c r="S195" s="7"/>
      <c r="T195" s="10"/>
      <c r="U195" s="7"/>
      <c r="V195" s="9"/>
      <c r="W195" s="9"/>
      <c r="X195" s="7"/>
      <c r="Y195" s="10"/>
      <c r="Z195" s="10"/>
      <c r="AA195" s="7"/>
      <c r="AB195" s="7"/>
      <c r="AC195" s="7"/>
      <c r="AD195" s="7"/>
      <c r="AE195" s="7"/>
      <c r="AF195" s="7"/>
      <c r="AG195" s="11"/>
      <c r="AH195" s="5"/>
      <c r="AI195" s="5"/>
      <c r="AJ195" s="5"/>
      <c r="AK195" s="5"/>
      <c r="AL195" s="5"/>
      <c r="AM195" s="6"/>
    </row>
    <row r="196" spans="1:39" x14ac:dyDescent="0.35">
      <c r="A196" s="5"/>
      <c r="B196" s="6"/>
      <c r="C196" s="5"/>
      <c r="D196" s="5"/>
      <c r="E196" s="7"/>
      <c r="F196" s="7"/>
      <c r="G196" s="7"/>
      <c r="H196" s="8"/>
      <c r="I196" s="9"/>
      <c r="J196" s="8"/>
      <c r="K196" s="7"/>
      <c r="L196" s="7"/>
      <c r="M196" s="7"/>
      <c r="N196" s="7"/>
      <c r="O196" s="7"/>
      <c r="P196" s="7"/>
      <c r="Q196" s="7"/>
      <c r="R196" s="7"/>
      <c r="S196" s="7"/>
      <c r="T196" s="10"/>
      <c r="U196" s="7"/>
      <c r="V196" s="9"/>
      <c r="W196" s="9"/>
      <c r="X196" s="7"/>
      <c r="Y196" s="10"/>
      <c r="Z196" s="10"/>
      <c r="AA196" s="7"/>
      <c r="AB196" s="7"/>
      <c r="AC196" s="7"/>
      <c r="AD196" s="7"/>
      <c r="AE196" s="7"/>
      <c r="AF196" s="7"/>
      <c r="AG196" s="11"/>
      <c r="AH196" s="5"/>
      <c r="AI196" s="5"/>
      <c r="AJ196" s="5"/>
      <c r="AK196" s="5"/>
      <c r="AL196" s="5"/>
      <c r="AM196" s="6"/>
    </row>
    <row r="197" spans="1:39" x14ac:dyDescent="0.35">
      <c r="A197" s="5"/>
      <c r="B197" s="6"/>
      <c r="C197" s="5"/>
      <c r="D197" s="5"/>
      <c r="E197" s="7"/>
      <c r="F197" s="7"/>
      <c r="G197" s="7"/>
      <c r="H197" s="8"/>
      <c r="I197" s="9"/>
      <c r="J197" s="8"/>
      <c r="K197" s="7"/>
      <c r="L197" s="7"/>
      <c r="M197" s="7"/>
      <c r="N197" s="7"/>
      <c r="O197" s="7"/>
      <c r="P197" s="7"/>
      <c r="Q197" s="7"/>
      <c r="R197" s="7"/>
      <c r="S197" s="7"/>
      <c r="T197" s="10"/>
      <c r="U197" s="7"/>
      <c r="V197" s="9"/>
      <c r="W197" s="9"/>
      <c r="X197" s="7"/>
      <c r="Y197" s="10"/>
      <c r="Z197" s="10"/>
      <c r="AA197" s="7"/>
      <c r="AB197" s="7"/>
      <c r="AC197" s="7"/>
      <c r="AD197" s="7"/>
      <c r="AE197" s="7"/>
      <c r="AF197" s="7"/>
      <c r="AG197" s="11"/>
      <c r="AH197" s="5"/>
      <c r="AI197" s="5"/>
      <c r="AJ197" s="5"/>
      <c r="AK197" s="5"/>
      <c r="AL197" s="5"/>
      <c r="AM197" s="6"/>
    </row>
    <row r="198" spans="1:39" x14ac:dyDescent="0.35">
      <c r="A198" s="5"/>
      <c r="B198" s="6"/>
      <c r="C198" s="5"/>
      <c r="D198" s="5"/>
      <c r="E198" s="7"/>
      <c r="F198" s="7"/>
      <c r="G198" s="7"/>
      <c r="H198" s="8"/>
      <c r="I198" s="9"/>
      <c r="J198" s="8"/>
      <c r="K198" s="7"/>
      <c r="L198" s="7"/>
      <c r="M198" s="7"/>
      <c r="N198" s="7"/>
      <c r="O198" s="7"/>
      <c r="P198" s="7"/>
      <c r="Q198" s="7"/>
      <c r="R198" s="7"/>
      <c r="S198" s="7"/>
      <c r="T198" s="10"/>
      <c r="U198" s="7"/>
      <c r="V198" s="9"/>
      <c r="W198" s="9"/>
      <c r="X198" s="7"/>
      <c r="Y198" s="10"/>
      <c r="Z198" s="10"/>
      <c r="AA198" s="7"/>
      <c r="AB198" s="7"/>
      <c r="AC198" s="7"/>
      <c r="AD198" s="7"/>
      <c r="AE198" s="7"/>
      <c r="AF198" s="7"/>
      <c r="AG198" s="11"/>
      <c r="AH198" s="5"/>
      <c r="AI198" s="5"/>
      <c r="AJ198" s="5"/>
      <c r="AK198" s="5"/>
      <c r="AL198" s="5"/>
      <c r="AM198" s="6"/>
    </row>
    <row r="199" spans="1:39" x14ac:dyDescent="0.35">
      <c r="A199" s="5"/>
      <c r="B199" s="6"/>
      <c r="C199" s="5"/>
      <c r="D199" s="5"/>
      <c r="E199" s="7"/>
      <c r="F199" s="7"/>
      <c r="G199" s="7"/>
      <c r="H199" s="8"/>
      <c r="I199" s="9"/>
      <c r="J199" s="8"/>
      <c r="K199" s="7"/>
      <c r="L199" s="7"/>
      <c r="M199" s="7"/>
      <c r="N199" s="7"/>
      <c r="O199" s="7"/>
      <c r="P199" s="7"/>
      <c r="Q199" s="7"/>
      <c r="R199" s="7"/>
      <c r="S199" s="7"/>
      <c r="T199" s="10"/>
      <c r="U199" s="7"/>
      <c r="V199" s="9"/>
      <c r="W199" s="9"/>
      <c r="X199" s="7"/>
      <c r="Y199" s="10"/>
      <c r="Z199" s="10"/>
      <c r="AA199" s="7"/>
      <c r="AB199" s="7"/>
      <c r="AC199" s="7"/>
      <c r="AD199" s="7"/>
      <c r="AE199" s="7"/>
      <c r="AF199" s="7"/>
      <c r="AG199" s="11"/>
      <c r="AH199" s="5"/>
      <c r="AI199" s="5"/>
      <c r="AJ199" s="5"/>
      <c r="AK199" s="5"/>
      <c r="AL199" s="5"/>
      <c r="AM199" s="6"/>
    </row>
    <row r="200" spans="1:39" x14ac:dyDescent="0.35">
      <c r="A200" s="5"/>
      <c r="B200" s="6"/>
      <c r="C200" s="5"/>
      <c r="D200" s="5"/>
      <c r="E200" s="7"/>
      <c r="F200" s="7"/>
      <c r="G200" s="7"/>
      <c r="H200" s="8"/>
      <c r="I200" s="9"/>
      <c r="J200" s="8"/>
      <c r="K200" s="7"/>
      <c r="L200" s="7"/>
      <c r="M200" s="7"/>
      <c r="N200" s="7"/>
      <c r="O200" s="7"/>
      <c r="P200" s="7"/>
      <c r="Q200" s="7"/>
      <c r="R200" s="7"/>
      <c r="S200" s="7"/>
      <c r="T200" s="10"/>
      <c r="U200" s="7"/>
      <c r="V200" s="9"/>
      <c r="W200" s="9"/>
      <c r="X200" s="7"/>
      <c r="Y200" s="10"/>
      <c r="Z200" s="10"/>
      <c r="AA200" s="7"/>
      <c r="AB200" s="7"/>
      <c r="AC200" s="7"/>
      <c r="AD200" s="7"/>
      <c r="AE200" s="7"/>
      <c r="AF200" s="7"/>
      <c r="AG200" s="11"/>
      <c r="AH200" s="5"/>
      <c r="AI200" s="5"/>
      <c r="AJ200" s="5"/>
      <c r="AK200" s="5"/>
      <c r="AL200" s="5"/>
      <c r="AM200" s="6"/>
    </row>
    <row r="201" spans="1:39" x14ac:dyDescent="0.35">
      <c r="A201" s="5"/>
      <c r="B201" s="6"/>
      <c r="C201" s="5"/>
      <c r="D201" s="5"/>
      <c r="E201" s="7"/>
      <c r="F201" s="7"/>
      <c r="G201" s="7"/>
      <c r="H201" s="8"/>
      <c r="I201" s="9"/>
      <c r="J201" s="8"/>
      <c r="K201" s="7"/>
      <c r="L201" s="7"/>
      <c r="M201" s="7"/>
      <c r="N201" s="7"/>
      <c r="O201" s="7"/>
      <c r="P201" s="7"/>
      <c r="Q201" s="7"/>
      <c r="R201" s="7"/>
      <c r="S201" s="7"/>
      <c r="T201" s="10"/>
      <c r="U201" s="7"/>
      <c r="V201" s="9"/>
      <c r="W201" s="9"/>
      <c r="X201" s="7"/>
      <c r="Y201" s="10"/>
      <c r="Z201" s="10"/>
      <c r="AA201" s="7"/>
      <c r="AB201" s="7"/>
      <c r="AC201" s="7"/>
      <c r="AD201" s="7"/>
      <c r="AE201" s="7"/>
      <c r="AF201" s="7"/>
      <c r="AG201" s="11"/>
      <c r="AH201" s="5"/>
      <c r="AI201" s="5"/>
      <c r="AJ201" s="5"/>
      <c r="AK201" s="5"/>
      <c r="AL201" s="5"/>
      <c r="AM201" s="6"/>
    </row>
    <row r="202" spans="1:39" x14ac:dyDescent="0.35">
      <c r="A202" s="5"/>
      <c r="B202" s="6"/>
      <c r="C202" s="5"/>
      <c r="D202" s="5"/>
      <c r="E202" s="7"/>
      <c r="F202" s="7"/>
      <c r="G202" s="7"/>
      <c r="H202" s="8"/>
      <c r="I202" s="9"/>
      <c r="J202" s="8"/>
      <c r="K202" s="7"/>
      <c r="L202" s="7"/>
      <c r="M202" s="7"/>
      <c r="N202" s="7"/>
      <c r="O202" s="7"/>
      <c r="P202" s="7"/>
      <c r="Q202" s="7"/>
      <c r="R202" s="7"/>
      <c r="S202" s="7"/>
      <c r="T202" s="10"/>
      <c r="U202" s="7"/>
      <c r="V202" s="9"/>
      <c r="W202" s="9"/>
      <c r="X202" s="7"/>
      <c r="Y202" s="10"/>
      <c r="Z202" s="10"/>
      <c r="AA202" s="7"/>
      <c r="AB202" s="7"/>
      <c r="AC202" s="7"/>
      <c r="AD202" s="7"/>
      <c r="AE202" s="7"/>
      <c r="AF202" s="7"/>
      <c r="AG202" s="11"/>
      <c r="AH202" s="5"/>
      <c r="AI202" s="5"/>
      <c r="AJ202" s="5"/>
      <c r="AK202" s="5"/>
      <c r="AL202" s="5"/>
      <c r="AM202" s="6"/>
    </row>
    <row r="203" spans="1:39" x14ac:dyDescent="0.35">
      <c r="A203" s="5"/>
      <c r="B203" s="6"/>
      <c r="C203" s="5"/>
      <c r="D203" s="5"/>
      <c r="E203" s="7"/>
      <c r="F203" s="7"/>
      <c r="G203" s="7"/>
      <c r="H203" s="8"/>
      <c r="I203" s="9"/>
      <c r="J203" s="8"/>
      <c r="K203" s="7"/>
      <c r="L203" s="7"/>
      <c r="M203" s="7"/>
      <c r="N203" s="7"/>
      <c r="O203" s="7"/>
      <c r="P203" s="7"/>
      <c r="Q203" s="7"/>
      <c r="R203" s="7"/>
      <c r="S203" s="7"/>
      <c r="T203" s="10"/>
      <c r="U203" s="7"/>
      <c r="V203" s="9"/>
      <c r="W203" s="9"/>
      <c r="X203" s="7"/>
      <c r="Y203" s="10"/>
      <c r="Z203" s="10"/>
      <c r="AA203" s="7"/>
      <c r="AB203" s="7"/>
      <c r="AC203" s="7"/>
      <c r="AD203" s="7"/>
      <c r="AE203" s="7"/>
      <c r="AF203" s="7"/>
      <c r="AG203" s="11"/>
      <c r="AH203" s="5"/>
      <c r="AI203" s="5"/>
      <c r="AJ203" s="5"/>
      <c r="AK203" s="5"/>
      <c r="AL203" s="5"/>
      <c r="AM203" s="6"/>
    </row>
    <row r="204" spans="1:39" x14ac:dyDescent="0.35">
      <c r="A204" s="5"/>
      <c r="B204" s="6"/>
      <c r="C204" s="5"/>
      <c r="D204" s="5"/>
      <c r="E204" s="7"/>
      <c r="F204" s="7"/>
      <c r="G204" s="7"/>
      <c r="H204" s="8"/>
      <c r="I204" s="9"/>
      <c r="J204" s="8"/>
      <c r="K204" s="7"/>
      <c r="L204" s="7"/>
      <c r="M204" s="7"/>
      <c r="N204" s="7"/>
      <c r="O204" s="7"/>
      <c r="P204" s="7"/>
      <c r="Q204" s="7"/>
      <c r="R204" s="7"/>
      <c r="S204" s="7"/>
      <c r="T204" s="10"/>
      <c r="U204" s="7"/>
      <c r="V204" s="9"/>
      <c r="W204" s="9"/>
      <c r="X204" s="7"/>
      <c r="Y204" s="10"/>
      <c r="Z204" s="10"/>
      <c r="AA204" s="7"/>
      <c r="AB204" s="7"/>
      <c r="AC204" s="7"/>
      <c r="AD204" s="7"/>
      <c r="AE204" s="7"/>
      <c r="AF204" s="7"/>
      <c r="AG204" s="11"/>
      <c r="AH204" s="5"/>
      <c r="AI204" s="5"/>
      <c r="AJ204" s="5"/>
      <c r="AK204" s="5"/>
      <c r="AL204" s="5"/>
      <c r="AM204" s="6"/>
    </row>
    <row r="205" spans="1:39" x14ac:dyDescent="0.35">
      <c r="A205" s="5"/>
      <c r="B205" s="6"/>
      <c r="C205" s="5"/>
      <c r="D205" s="5"/>
      <c r="E205" s="7"/>
      <c r="F205" s="7"/>
      <c r="G205" s="7"/>
      <c r="H205" s="8"/>
      <c r="I205" s="9"/>
      <c r="J205" s="8"/>
      <c r="K205" s="7"/>
      <c r="L205" s="7"/>
      <c r="M205" s="7"/>
      <c r="N205" s="7"/>
      <c r="O205" s="7"/>
      <c r="P205" s="7"/>
      <c r="Q205" s="7"/>
      <c r="R205" s="7"/>
      <c r="S205" s="7"/>
      <c r="T205" s="10"/>
      <c r="U205" s="7"/>
      <c r="V205" s="9"/>
      <c r="W205" s="9"/>
      <c r="X205" s="7"/>
      <c r="Y205" s="10"/>
      <c r="Z205" s="10"/>
      <c r="AA205" s="7"/>
      <c r="AB205" s="7"/>
      <c r="AC205" s="7"/>
      <c r="AD205" s="7"/>
      <c r="AE205" s="7"/>
      <c r="AF205" s="7"/>
      <c r="AG205" s="11"/>
      <c r="AH205" s="5"/>
      <c r="AI205" s="5"/>
      <c r="AJ205" s="5"/>
      <c r="AK205" s="5"/>
      <c r="AL205" s="5"/>
      <c r="AM205" s="6"/>
    </row>
    <row r="206" spans="1:39" x14ac:dyDescent="0.35">
      <c r="A206" s="5"/>
      <c r="B206" s="6"/>
      <c r="C206" s="5"/>
      <c r="D206" s="5"/>
      <c r="E206" s="7"/>
      <c r="F206" s="7"/>
      <c r="G206" s="7"/>
      <c r="H206" s="8"/>
      <c r="I206" s="9"/>
      <c r="J206" s="8"/>
      <c r="K206" s="7"/>
      <c r="L206" s="7"/>
      <c r="M206" s="7"/>
      <c r="N206" s="7"/>
      <c r="O206" s="7"/>
      <c r="P206" s="7"/>
      <c r="Q206" s="7"/>
      <c r="R206" s="7"/>
      <c r="S206" s="7"/>
      <c r="T206" s="10"/>
      <c r="U206" s="7"/>
      <c r="V206" s="9"/>
      <c r="W206" s="9"/>
      <c r="X206" s="7"/>
      <c r="Y206" s="10"/>
      <c r="Z206" s="10"/>
      <c r="AA206" s="7"/>
      <c r="AB206" s="7"/>
      <c r="AC206" s="7"/>
      <c r="AD206" s="7"/>
      <c r="AE206" s="7"/>
      <c r="AF206" s="7"/>
      <c r="AG206" s="11"/>
      <c r="AH206" s="5"/>
      <c r="AI206" s="5"/>
      <c r="AJ206" s="5"/>
      <c r="AK206" s="5"/>
      <c r="AL206" s="5"/>
      <c r="AM206" s="6"/>
    </row>
    <row r="207" spans="1:39" x14ac:dyDescent="0.35">
      <c r="A207" s="5"/>
      <c r="B207" s="6"/>
      <c r="C207" s="5"/>
      <c r="D207" s="5"/>
      <c r="E207" s="7"/>
      <c r="F207" s="7"/>
      <c r="G207" s="7"/>
      <c r="H207" s="8"/>
      <c r="I207" s="9"/>
      <c r="J207" s="8"/>
      <c r="K207" s="7"/>
      <c r="L207" s="7"/>
      <c r="M207" s="7"/>
      <c r="N207" s="7"/>
      <c r="O207" s="7"/>
      <c r="P207" s="7"/>
      <c r="Q207" s="7"/>
      <c r="R207" s="7"/>
      <c r="S207" s="7"/>
      <c r="T207" s="10"/>
      <c r="U207" s="7"/>
      <c r="V207" s="9"/>
      <c r="W207" s="9"/>
      <c r="X207" s="7"/>
      <c r="Y207" s="10"/>
      <c r="Z207" s="10"/>
      <c r="AA207" s="7"/>
      <c r="AB207" s="7"/>
      <c r="AC207" s="7"/>
      <c r="AD207" s="7"/>
      <c r="AE207" s="7"/>
      <c r="AF207" s="7"/>
      <c r="AG207" s="11"/>
      <c r="AH207" s="5"/>
      <c r="AI207" s="5"/>
      <c r="AJ207" s="5"/>
      <c r="AK207" s="5"/>
      <c r="AL207" s="5"/>
      <c r="AM207" s="6"/>
    </row>
    <row r="208" spans="1:39" x14ac:dyDescent="0.35">
      <c r="A208" s="5"/>
      <c r="B208" s="6"/>
      <c r="C208" s="5"/>
      <c r="D208" s="5"/>
      <c r="E208" s="7"/>
      <c r="F208" s="7"/>
      <c r="G208" s="7"/>
      <c r="H208" s="8"/>
      <c r="I208" s="9"/>
      <c r="J208" s="8"/>
      <c r="K208" s="7"/>
      <c r="L208" s="7"/>
      <c r="M208" s="7"/>
      <c r="N208" s="7"/>
      <c r="O208" s="7"/>
      <c r="P208" s="7"/>
      <c r="Q208" s="7"/>
      <c r="R208" s="7"/>
      <c r="S208" s="7"/>
      <c r="T208" s="10"/>
      <c r="U208" s="7"/>
      <c r="V208" s="9"/>
      <c r="W208" s="9"/>
      <c r="X208" s="7"/>
      <c r="Y208" s="10"/>
      <c r="Z208" s="10"/>
      <c r="AA208" s="7"/>
      <c r="AB208" s="7"/>
      <c r="AC208" s="7"/>
      <c r="AD208" s="7"/>
      <c r="AE208" s="7"/>
      <c r="AF208" s="7"/>
      <c r="AG208" s="11"/>
      <c r="AH208" s="5"/>
      <c r="AI208" s="5"/>
      <c r="AJ208" s="5"/>
      <c r="AK208" s="5"/>
      <c r="AL208" s="5"/>
      <c r="AM208" s="6"/>
    </row>
    <row r="209" spans="1:39" x14ac:dyDescent="0.35">
      <c r="A209" s="5"/>
      <c r="B209" s="6"/>
      <c r="C209" s="5"/>
      <c r="D209" s="5"/>
      <c r="E209" s="7"/>
      <c r="F209" s="7"/>
      <c r="G209" s="7"/>
      <c r="H209" s="8"/>
      <c r="I209" s="9"/>
      <c r="J209" s="8"/>
      <c r="K209" s="7"/>
      <c r="L209" s="7"/>
      <c r="M209" s="7"/>
      <c r="N209" s="7"/>
      <c r="O209" s="7"/>
      <c r="P209" s="7"/>
      <c r="Q209" s="7"/>
      <c r="R209" s="7"/>
      <c r="S209" s="7"/>
      <c r="T209" s="10"/>
      <c r="U209" s="7"/>
      <c r="V209" s="9"/>
      <c r="W209" s="9"/>
      <c r="X209" s="7"/>
      <c r="Y209" s="10"/>
      <c r="Z209" s="10"/>
      <c r="AA209" s="7"/>
      <c r="AB209" s="7"/>
      <c r="AC209" s="7"/>
      <c r="AD209" s="7"/>
      <c r="AE209" s="7"/>
      <c r="AF209" s="7"/>
      <c r="AG209" s="11"/>
      <c r="AH209" s="5"/>
      <c r="AI209" s="5"/>
      <c r="AJ209" s="5"/>
      <c r="AK209" s="5"/>
      <c r="AL209" s="5"/>
      <c r="AM209" s="6"/>
    </row>
    <row r="210" spans="1:39" x14ac:dyDescent="0.35">
      <c r="A210" s="5"/>
      <c r="B210" s="6"/>
      <c r="C210" s="5"/>
      <c r="D210" s="5"/>
      <c r="E210" s="7"/>
      <c r="F210" s="7"/>
      <c r="G210" s="7"/>
      <c r="H210" s="8"/>
      <c r="I210" s="9"/>
      <c r="J210" s="8"/>
      <c r="K210" s="7"/>
      <c r="L210" s="7"/>
      <c r="M210" s="7"/>
      <c r="N210" s="7"/>
      <c r="O210" s="7"/>
      <c r="P210" s="7"/>
      <c r="Q210" s="7"/>
      <c r="R210" s="7"/>
      <c r="S210" s="7"/>
      <c r="T210" s="10"/>
      <c r="U210" s="7"/>
      <c r="V210" s="9"/>
      <c r="W210" s="9"/>
      <c r="X210" s="7"/>
      <c r="Y210" s="10"/>
      <c r="Z210" s="10"/>
      <c r="AA210" s="7"/>
      <c r="AB210" s="7"/>
      <c r="AC210" s="7"/>
      <c r="AD210" s="7"/>
      <c r="AE210" s="7"/>
      <c r="AF210" s="7"/>
      <c r="AG210" s="11"/>
      <c r="AH210" s="5"/>
      <c r="AI210" s="5"/>
      <c r="AJ210" s="5"/>
      <c r="AK210" s="5"/>
      <c r="AL210" s="5"/>
      <c r="AM210" s="6"/>
    </row>
    <row r="211" spans="1:39" x14ac:dyDescent="0.35">
      <c r="A211" s="5"/>
      <c r="B211" s="6"/>
      <c r="C211" s="5"/>
      <c r="D211" s="5"/>
      <c r="E211" s="7"/>
      <c r="F211" s="7"/>
      <c r="G211" s="7"/>
      <c r="H211" s="8"/>
      <c r="I211" s="9"/>
      <c r="J211" s="8"/>
      <c r="K211" s="7"/>
      <c r="L211" s="7"/>
      <c r="M211" s="7"/>
      <c r="N211" s="7"/>
      <c r="O211" s="7"/>
      <c r="P211" s="7"/>
      <c r="Q211" s="7"/>
      <c r="R211" s="7"/>
      <c r="S211" s="7"/>
      <c r="T211" s="10"/>
      <c r="U211" s="7"/>
      <c r="V211" s="9"/>
      <c r="W211" s="9"/>
      <c r="X211" s="7"/>
      <c r="Y211" s="10"/>
      <c r="Z211" s="10"/>
      <c r="AA211" s="7"/>
      <c r="AB211" s="7"/>
      <c r="AC211" s="7"/>
      <c r="AD211" s="7"/>
      <c r="AE211" s="7"/>
      <c r="AF211" s="7"/>
      <c r="AG211" s="11"/>
      <c r="AH211" s="5"/>
      <c r="AI211" s="5"/>
      <c r="AJ211" s="5"/>
      <c r="AK211" s="5"/>
      <c r="AL211" s="5"/>
      <c r="AM211" s="6"/>
    </row>
    <row r="212" spans="1:39" x14ac:dyDescent="0.35">
      <c r="A212" s="5"/>
      <c r="B212" s="6"/>
      <c r="C212" s="5"/>
      <c r="D212" s="5"/>
      <c r="E212" s="7"/>
      <c r="F212" s="7"/>
      <c r="G212" s="7"/>
      <c r="H212" s="8"/>
      <c r="I212" s="9"/>
      <c r="J212" s="8"/>
      <c r="K212" s="7"/>
      <c r="L212" s="7"/>
      <c r="M212" s="7"/>
      <c r="N212" s="7"/>
      <c r="O212" s="7"/>
      <c r="P212" s="7"/>
      <c r="Q212" s="7"/>
      <c r="R212" s="7"/>
      <c r="S212" s="7"/>
      <c r="T212" s="10"/>
      <c r="U212" s="7"/>
      <c r="V212" s="9"/>
      <c r="W212" s="9"/>
      <c r="X212" s="7"/>
      <c r="Y212" s="10"/>
      <c r="Z212" s="10"/>
      <c r="AA212" s="7"/>
      <c r="AB212" s="7"/>
      <c r="AC212" s="7"/>
      <c r="AD212" s="7"/>
      <c r="AE212" s="7"/>
      <c r="AF212" s="7"/>
      <c r="AG212" s="11"/>
      <c r="AH212" s="5"/>
      <c r="AI212" s="5"/>
      <c r="AJ212" s="5"/>
      <c r="AK212" s="5"/>
      <c r="AL212" s="5"/>
      <c r="AM212" s="6"/>
    </row>
    <row r="213" spans="1:39" x14ac:dyDescent="0.35">
      <c r="A213" s="5"/>
      <c r="B213" s="6"/>
      <c r="C213" s="5"/>
      <c r="D213" s="5"/>
      <c r="E213" s="7"/>
      <c r="F213" s="7"/>
      <c r="G213" s="7"/>
      <c r="H213" s="8"/>
      <c r="I213" s="9"/>
      <c r="J213" s="8"/>
      <c r="K213" s="7"/>
      <c r="L213" s="7"/>
      <c r="M213" s="7"/>
      <c r="N213" s="7"/>
      <c r="O213" s="7"/>
      <c r="P213" s="7"/>
      <c r="Q213" s="7"/>
      <c r="R213" s="7"/>
      <c r="S213" s="7"/>
      <c r="T213" s="10"/>
      <c r="U213" s="7"/>
      <c r="V213" s="9"/>
      <c r="W213" s="9"/>
      <c r="X213" s="7"/>
      <c r="Y213" s="10"/>
      <c r="Z213" s="10"/>
      <c r="AA213" s="7"/>
      <c r="AB213" s="7"/>
      <c r="AC213" s="7"/>
      <c r="AD213" s="7"/>
      <c r="AE213" s="7"/>
      <c r="AF213" s="7"/>
      <c r="AG213" s="11"/>
      <c r="AH213" s="5"/>
      <c r="AI213" s="5"/>
      <c r="AJ213" s="5"/>
      <c r="AK213" s="5"/>
      <c r="AL213" s="5"/>
      <c r="AM213" s="6"/>
    </row>
    <row r="214" spans="1:39" x14ac:dyDescent="0.35">
      <c r="A214" s="5"/>
      <c r="B214" s="6"/>
      <c r="C214" s="5"/>
      <c r="D214" s="5"/>
      <c r="E214" s="7"/>
      <c r="F214" s="7"/>
      <c r="G214" s="7"/>
      <c r="H214" s="8"/>
      <c r="I214" s="9"/>
      <c r="J214" s="8"/>
      <c r="K214" s="7"/>
      <c r="L214" s="7"/>
      <c r="M214" s="7"/>
      <c r="N214" s="7"/>
      <c r="O214" s="7"/>
      <c r="P214" s="7"/>
      <c r="Q214" s="7"/>
      <c r="R214" s="7"/>
      <c r="S214" s="7"/>
      <c r="T214" s="10"/>
      <c r="U214" s="7"/>
      <c r="V214" s="9"/>
      <c r="W214" s="9"/>
      <c r="X214" s="7"/>
      <c r="Y214" s="10"/>
      <c r="Z214" s="10"/>
      <c r="AA214" s="7"/>
      <c r="AB214" s="7"/>
      <c r="AC214" s="7"/>
      <c r="AD214" s="7"/>
      <c r="AE214" s="7"/>
      <c r="AF214" s="7"/>
      <c r="AG214" s="11"/>
      <c r="AH214" s="5"/>
      <c r="AI214" s="5"/>
      <c r="AJ214" s="5"/>
      <c r="AK214" s="5"/>
      <c r="AL214" s="5"/>
      <c r="AM214" s="6"/>
    </row>
    <row r="215" spans="1:39" x14ac:dyDescent="0.35">
      <c r="A215" s="5"/>
      <c r="B215" s="6"/>
      <c r="C215" s="5"/>
      <c r="D215" s="5"/>
      <c r="E215" s="7"/>
      <c r="F215" s="7"/>
      <c r="G215" s="7"/>
      <c r="H215" s="8"/>
      <c r="I215" s="9"/>
      <c r="J215" s="8"/>
      <c r="K215" s="7"/>
      <c r="L215" s="7"/>
      <c r="M215" s="7"/>
      <c r="N215" s="7"/>
      <c r="O215" s="7"/>
      <c r="P215" s="7"/>
      <c r="Q215" s="7"/>
      <c r="R215" s="7"/>
      <c r="S215" s="7"/>
      <c r="T215" s="10"/>
      <c r="U215" s="7"/>
      <c r="V215" s="9"/>
      <c r="W215" s="9"/>
      <c r="X215" s="7"/>
      <c r="Y215" s="10"/>
      <c r="Z215" s="10"/>
      <c r="AA215" s="7"/>
      <c r="AB215" s="7"/>
      <c r="AC215" s="7"/>
      <c r="AD215" s="7"/>
      <c r="AE215" s="7"/>
      <c r="AF215" s="7"/>
      <c r="AG215" s="11"/>
      <c r="AH215" s="5"/>
      <c r="AI215" s="5"/>
      <c r="AJ215" s="5"/>
      <c r="AK215" s="5"/>
      <c r="AL215" s="5"/>
      <c r="AM215" s="6"/>
    </row>
    <row r="216" spans="1:39" x14ac:dyDescent="0.35">
      <c r="A216" s="5"/>
      <c r="B216" s="6"/>
      <c r="C216" s="5"/>
      <c r="D216" s="5"/>
      <c r="E216" s="7"/>
      <c r="F216" s="7"/>
      <c r="G216" s="7"/>
      <c r="H216" s="8"/>
      <c r="I216" s="9"/>
      <c r="J216" s="8"/>
      <c r="K216" s="7"/>
      <c r="L216" s="7"/>
      <c r="M216" s="7"/>
      <c r="N216" s="7"/>
      <c r="O216" s="7"/>
      <c r="P216" s="7"/>
      <c r="Q216" s="7"/>
      <c r="R216" s="7"/>
      <c r="S216" s="7"/>
      <c r="T216" s="10"/>
      <c r="U216" s="7"/>
      <c r="V216" s="9"/>
      <c r="W216" s="9"/>
      <c r="X216" s="7"/>
      <c r="Y216" s="10"/>
      <c r="Z216" s="10"/>
      <c r="AA216" s="7"/>
      <c r="AB216" s="7"/>
      <c r="AC216" s="7"/>
      <c r="AD216" s="7"/>
      <c r="AE216" s="7"/>
      <c r="AF216" s="7"/>
      <c r="AG216" s="11"/>
      <c r="AH216" s="5"/>
      <c r="AI216" s="5"/>
      <c r="AJ216" s="5"/>
      <c r="AK216" s="5"/>
      <c r="AL216" s="5"/>
      <c r="AM216" s="6"/>
    </row>
    <row r="217" spans="1:39" x14ac:dyDescent="0.35">
      <c r="A217" s="5"/>
      <c r="B217" s="6"/>
      <c r="C217" s="5"/>
      <c r="D217" s="5"/>
      <c r="E217" s="7"/>
      <c r="F217" s="7"/>
      <c r="G217" s="7"/>
      <c r="H217" s="8"/>
      <c r="I217" s="9"/>
      <c r="J217" s="8"/>
      <c r="K217" s="7"/>
      <c r="L217" s="7"/>
      <c r="M217" s="7"/>
      <c r="N217" s="7"/>
      <c r="O217" s="7"/>
      <c r="P217" s="7"/>
      <c r="Q217" s="7"/>
      <c r="R217" s="7"/>
      <c r="S217" s="7"/>
      <c r="T217" s="10"/>
      <c r="U217" s="7"/>
      <c r="V217" s="9"/>
      <c r="W217" s="9"/>
      <c r="X217" s="7"/>
      <c r="Y217" s="10"/>
      <c r="Z217" s="10"/>
      <c r="AA217" s="7"/>
      <c r="AB217" s="7"/>
      <c r="AC217" s="7"/>
      <c r="AD217" s="7"/>
      <c r="AE217" s="7"/>
      <c r="AF217" s="7"/>
      <c r="AG217" s="11"/>
      <c r="AH217" s="5"/>
      <c r="AI217" s="5"/>
      <c r="AJ217" s="5"/>
      <c r="AK217" s="5"/>
      <c r="AL217" s="5"/>
      <c r="AM217" s="6"/>
    </row>
    <row r="218" spans="1:39" x14ac:dyDescent="0.35">
      <c r="A218" s="5"/>
      <c r="B218" s="6"/>
      <c r="C218" s="5"/>
      <c r="D218" s="5"/>
      <c r="E218" s="7"/>
      <c r="F218" s="7"/>
      <c r="G218" s="7"/>
      <c r="H218" s="8"/>
      <c r="I218" s="9"/>
      <c r="J218" s="8"/>
      <c r="K218" s="7"/>
      <c r="L218" s="7"/>
      <c r="M218" s="7"/>
      <c r="N218" s="7"/>
      <c r="O218" s="7"/>
      <c r="P218" s="7"/>
      <c r="Q218" s="7"/>
      <c r="R218" s="7"/>
      <c r="S218" s="7"/>
      <c r="T218" s="10"/>
      <c r="U218" s="7"/>
      <c r="V218" s="9"/>
      <c r="W218" s="9"/>
      <c r="X218" s="7"/>
      <c r="Y218" s="10"/>
      <c r="Z218" s="10"/>
      <c r="AA218" s="7"/>
      <c r="AB218" s="7"/>
      <c r="AC218" s="7"/>
      <c r="AD218" s="7"/>
      <c r="AE218" s="7"/>
      <c r="AF218" s="7"/>
      <c r="AG218" s="11"/>
      <c r="AH218" s="5"/>
      <c r="AI218" s="5"/>
      <c r="AJ218" s="5"/>
      <c r="AK218" s="5"/>
      <c r="AL218" s="5"/>
      <c r="AM218" s="6"/>
    </row>
    <row r="219" spans="1:39" x14ac:dyDescent="0.35">
      <c r="A219" s="5"/>
      <c r="B219" s="6"/>
      <c r="C219" s="5"/>
      <c r="D219" s="5"/>
      <c r="E219" s="7"/>
      <c r="F219" s="7"/>
      <c r="G219" s="7"/>
      <c r="H219" s="8"/>
      <c r="I219" s="9"/>
      <c r="J219" s="8"/>
      <c r="K219" s="7"/>
      <c r="L219" s="7"/>
      <c r="M219" s="7"/>
      <c r="N219" s="7"/>
      <c r="O219" s="7"/>
      <c r="P219" s="7"/>
      <c r="Q219" s="7"/>
      <c r="R219" s="7"/>
      <c r="S219" s="7"/>
      <c r="T219" s="10"/>
      <c r="U219" s="7"/>
      <c r="V219" s="9"/>
      <c r="W219" s="9"/>
      <c r="X219" s="7"/>
      <c r="Y219" s="10"/>
      <c r="Z219" s="10"/>
      <c r="AA219" s="7"/>
      <c r="AB219" s="7"/>
      <c r="AC219" s="7"/>
      <c r="AD219" s="7"/>
      <c r="AE219" s="7"/>
      <c r="AF219" s="7"/>
      <c r="AG219" s="11"/>
      <c r="AH219" s="5"/>
      <c r="AI219" s="5"/>
      <c r="AJ219" s="5"/>
      <c r="AK219" s="5"/>
      <c r="AL219" s="5"/>
      <c r="AM219" s="6"/>
    </row>
    <row r="220" spans="1:39" x14ac:dyDescent="0.35">
      <c r="A220" s="5"/>
      <c r="B220" s="6"/>
      <c r="C220" s="5"/>
      <c r="D220" s="5"/>
      <c r="E220" s="7"/>
      <c r="F220" s="7"/>
      <c r="G220" s="7"/>
      <c r="H220" s="8"/>
      <c r="I220" s="9"/>
      <c r="J220" s="8"/>
      <c r="K220" s="7"/>
      <c r="L220" s="7"/>
      <c r="M220" s="7"/>
      <c r="N220" s="7"/>
      <c r="O220" s="7"/>
      <c r="P220" s="7"/>
      <c r="Q220" s="7"/>
      <c r="R220" s="7"/>
      <c r="S220" s="7"/>
      <c r="T220" s="10"/>
      <c r="U220" s="7"/>
      <c r="V220" s="9"/>
      <c r="W220" s="9"/>
      <c r="X220" s="7"/>
      <c r="Y220" s="10"/>
      <c r="Z220" s="10"/>
      <c r="AA220" s="7"/>
      <c r="AB220" s="7"/>
      <c r="AC220" s="7"/>
      <c r="AD220" s="7"/>
      <c r="AE220" s="7"/>
      <c r="AF220" s="7"/>
      <c r="AG220" s="11"/>
      <c r="AH220" s="5"/>
      <c r="AI220" s="5"/>
      <c r="AJ220" s="5"/>
      <c r="AK220" s="5"/>
      <c r="AL220" s="5"/>
      <c r="AM220" s="6"/>
    </row>
    <row r="221" spans="1:39" x14ac:dyDescent="0.35">
      <c r="A221" s="5"/>
      <c r="B221" s="6"/>
      <c r="C221" s="5"/>
      <c r="D221" s="5"/>
      <c r="E221" s="7"/>
      <c r="F221" s="7"/>
      <c r="G221" s="7"/>
      <c r="H221" s="8"/>
      <c r="I221" s="9"/>
      <c r="J221" s="8"/>
      <c r="K221" s="7"/>
      <c r="L221" s="7"/>
      <c r="M221" s="7"/>
      <c r="N221" s="7"/>
      <c r="O221" s="7"/>
      <c r="P221" s="7"/>
      <c r="Q221" s="7"/>
      <c r="R221" s="7"/>
      <c r="S221" s="7"/>
      <c r="T221" s="10"/>
      <c r="U221" s="7"/>
      <c r="V221" s="9"/>
      <c r="W221" s="9"/>
      <c r="X221" s="7"/>
      <c r="Y221" s="10"/>
      <c r="Z221" s="10"/>
      <c r="AA221" s="7"/>
      <c r="AB221" s="7"/>
      <c r="AC221" s="7"/>
      <c r="AD221" s="7"/>
      <c r="AE221" s="7"/>
      <c r="AF221" s="7"/>
      <c r="AG221" s="11"/>
      <c r="AH221" s="5"/>
      <c r="AI221" s="5"/>
      <c r="AJ221" s="5"/>
      <c r="AK221" s="5"/>
      <c r="AL221" s="5"/>
      <c r="AM221" s="6"/>
    </row>
    <row r="222" spans="1:39" x14ac:dyDescent="0.35">
      <c r="A222" s="5"/>
      <c r="B222" s="6"/>
      <c r="C222" s="5"/>
      <c r="D222" s="5"/>
      <c r="E222" s="7"/>
      <c r="F222" s="7"/>
      <c r="G222" s="7"/>
      <c r="H222" s="8"/>
      <c r="I222" s="9"/>
      <c r="J222" s="8"/>
      <c r="K222" s="7"/>
      <c r="L222" s="7"/>
      <c r="M222" s="7"/>
      <c r="N222" s="7"/>
      <c r="O222" s="7"/>
      <c r="P222" s="7"/>
      <c r="Q222" s="7"/>
      <c r="R222" s="7"/>
      <c r="S222" s="7"/>
      <c r="T222" s="10"/>
      <c r="U222" s="7"/>
      <c r="V222" s="9"/>
      <c r="W222" s="9"/>
      <c r="X222" s="7"/>
      <c r="Y222" s="10"/>
      <c r="Z222" s="10"/>
      <c r="AA222" s="7"/>
      <c r="AB222" s="7"/>
      <c r="AC222" s="7"/>
      <c r="AD222" s="7"/>
      <c r="AE222" s="7"/>
      <c r="AF222" s="7"/>
      <c r="AG222" s="11"/>
      <c r="AH222" s="5"/>
      <c r="AI222" s="5"/>
      <c r="AJ222" s="5"/>
      <c r="AK222" s="5"/>
      <c r="AL222" s="5"/>
      <c r="AM222" s="6"/>
    </row>
    <row r="223" spans="1:39" x14ac:dyDescent="0.35">
      <c r="A223" s="5"/>
      <c r="B223" s="6"/>
      <c r="C223" s="5"/>
      <c r="D223" s="5"/>
      <c r="E223" s="7"/>
      <c r="F223" s="7"/>
      <c r="G223" s="7"/>
      <c r="H223" s="8"/>
      <c r="I223" s="9"/>
      <c r="J223" s="8"/>
      <c r="K223" s="7"/>
      <c r="L223" s="7"/>
      <c r="M223" s="7"/>
      <c r="N223" s="7"/>
      <c r="O223" s="7"/>
      <c r="P223" s="7"/>
      <c r="Q223" s="7"/>
      <c r="R223" s="7"/>
      <c r="S223" s="7"/>
      <c r="T223" s="10"/>
      <c r="U223" s="7"/>
      <c r="V223" s="9"/>
      <c r="W223" s="9"/>
      <c r="X223" s="7"/>
      <c r="Y223" s="10"/>
      <c r="Z223" s="10"/>
      <c r="AA223" s="7"/>
      <c r="AB223" s="7"/>
      <c r="AC223" s="7"/>
      <c r="AD223" s="7"/>
      <c r="AE223" s="7"/>
      <c r="AF223" s="7"/>
      <c r="AG223" s="11"/>
      <c r="AH223" s="5"/>
      <c r="AI223" s="5"/>
      <c r="AJ223" s="5"/>
      <c r="AK223" s="5"/>
      <c r="AL223" s="5"/>
      <c r="AM223" s="6"/>
    </row>
    <row r="224" spans="1:39" x14ac:dyDescent="0.35">
      <c r="A224" s="5"/>
      <c r="B224" s="6"/>
      <c r="C224" s="5"/>
      <c r="D224" s="5"/>
      <c r="E224" s="7"/>
      <c r="F224" s="7"/>
      <c r="G224" s="7"/>
      <c r="H224" s="8"/>
      <c r="I224" s="9"/>
      <c r="J224" s="8"/>
      <c r="K224" s="7"/>
      <c r="L224" s="7"/>
      <c r="M224" s="7"/>
      <c r="N224" s="7"/>
      <c r="O224" s="7"/>
      <c r="P224" s="7"/>
      <c r="Q224" s="7"/>
      <c r="R224" s="7"/>
      <c r="S224" s="7"/>
      <c r="T224" s="10"/>
      <c r="U224" s="7"/>
      <c r="V224" s="9"/>
      <c r="W224" s="9"/>
      <c r="X224" s="7"/>
      <c r="Y224" s="10"/>
      <c r="Z224" s="10"/>
      <c r="AA224" s="7"/>
      <c r="AB224" s="7"/>
      <c r="AC224" s="7"/>
      <c r="AD224" s="7"/>
      <c r="AE224" s="7"/>
      <c r="AF224" s="7"/>
      <c r="AG224" s="11"/>
      <c r="AH224" s="5"/>
      <c r="AI224" s="5"/>
      <c r="AJ224" s="5"/>
      <c r="AK224" s="5"/>
      <c r="AL224" s="5"/>
      <c r="AM224" s="6"/>
    </row>
    <row r="225" spans="1:39" x14ac:dyDescent="0.35">
      <c r="A225" s="5"/>
      <c r="B225" s="6"/>
      <c r="C225" s="5"/>
      <c r="D225" s="5"/>
      <c r="E225" s="7"/>
      <c r="F225" s="7"/>
      <c r="G225" s="7"/>
      <c r="H225" s="8"/>
      <c r="I225" s="9"/>
      <c r="J225" s="8"/>
      <c r="K225" s="7"/>
      <c r="L225" s="7"/>
      <c r="M225" s="7"/>
      <c r="N225" s="7"/>
      <c r="O225" s="7"/>
      <c r="P225" s="7"/>
      <c r="Q225" s="7"/>
      <c r="R225" s="7"/>
      <c r="S225" s="7"/>
      <c r="T225" s="10"/>
      <c r="U225" s="7"/>
      <c r="V225" s="9"/>
      <c r="W225" s="9"/>
      <c r="X225" s="7"/>
      <c r="Y225" s="10"/>
      <c r="Z225" s="10"/>
      <c r="AA225" s="7"/>
      <c r="AB225" s="7"/>
      <c r="AC225" s="7"/>
      <c r="AD225" s="7"/>
      <c r="AE225" s="7"/>
      <c r="AF225" s="7"/>
      <c r="AG225" s="11"/>
      <c r="AH225" s="5"/>
      <c r="AI225" s="5"/>
      <c r="AJ225" s="5"/>
      <c r="AK225" s="5"/>
      <c r="AL225" s="5"/>
      <c r="AM225" s="6"/>
    </row>
    <row r="226" spans="1:39" x14ac:dyDescent="0.35">
      <c r="A226" s="5"/>
      <c r="B226" s="6"/>
      <c r="C226" s="5"/>
      <c r="D226" s="5"/>
      <c r="E226" s="7"/>
      <c r="F226" s="7"/>
      <c r="G226" s="7"/>
      <c r="H226" s="8"/>
      <c r="I226" s="9"/>
      <c r="J226" s="8"/>
      <c r="K226" s="7"/>
      <c r="L226" s="7"/>
      <c r="M226" s="7"/>
      <c r="N226" s="7"/>
      <c r="O226" s="7"/>
      <c r="P226" s="7"/>
      <c r="Q226" s="7"/>
      <c r="R226" s="7"/>
      <c r="S226" s="7"/>
      <c r="T226" s="10"/>
      <c r="U226" s="7"/>
      <c r="V226" s="9"/>
      <c r="W226" s="9"/>
      <c r="X226" s="7"/>
      <c r="Y226" s="10"/>
      <c r="Z226" s="10"/>
      <c r="AA226" s="7"/>
      <c r="AB226" s="7"/>
      <c r="AC226" s="7"/>
      <c r="AD226" s="7"/>
      <c r="AE226" s="7"/>
      <c r="AF226" s="7"/>
      <c r="AG226" s="11"/>
      <c r="AH226" s="5"/>
      <c r="AI226" s="5"/>
      <c r="AJ226" s="5"/>
      <c r="AK226" s="5"/>
      <c r="AL226" s="5"/>
      <c r="AM226" s="6"/>
    </row>
    <row r="227" spans="1:39" x14ac:dyDescent="0.35">
      <c r="A227" s="5"/>
      <c r="B227" s="6"/>
      <c r="C227" s="5"/>
      <c r="D227" s="5"/>
      <c r="E227" s="7"/>
      <c r="F227" s="7"/>
      <c r="G227" s="7"/>
      <c r="H227" s="8"/>
      <c r="I227" s="9"/>
      <c r="J227" s="8"/>
      <c r="K227" s="7"/>
      <c r="L227" s="7"/>
      <c r="M227" s="7"/>
      <c r="N227" s="7"/>
      <c r="O227" s="7"/>
      <c r="P227" s="7"/>
      <c r="Q227" s="7"/>
      <c r="R227" s="7"/>
      <c r="S227" s="7"/>
      <c r="T227" s="10"/>
      <c r="U227" s="7"/>
      <c r="V227" s="9"/>
      <c r="W227" s="9"/>
      <c r="X227" s="7"/>
      <c r="Y227" s="10"/>
      <c r="Z227" s="10"/>
      <c r="AA227" s="7"/>
      <c r="AB227" s="7"/>
      <c r="AC227" s="7"/>
      <c r="AD227" s="7"/>
      <c r="AE227" s="7"/>
      <c r="AF227" s="7"/>
      <c r="AG227" s="11"/>
      <c r="AH227" s="5"/>
      <c r="AI227" s="5"/>
      <c r="AJ227" s="5"/>
      <c r="AK227" s="5"/>
      <c r="AL227" s="5"/>
      <c r="AM227" s="6"/>
    </row>
    <row r="228" spans="1:39" x14ac:dyDescent="0.35">
      <c r="A228" s="5"/>
      <c r="B228" s="6"/>
      <c r="C228" s="5"/>
      <c r="D228" s="5"/>
      <c r="E228" s="7"/>
      <c r="F228" s="7"/>
      <c r="G228" s="7"/>
      <c r="H228" s="8"/>
      <c r="I228" s="9"/>
      <c r="J228" s="8"/>
      <c r="K228" s="7"/>
      <c r="L228" s="7"/>
      <c r="M228" s="7"/>
      <c r="N228" s="7"/>
      <c r="O228" s="7"/>
      <c r="P228" s="7"/>
      <c r="Q228" s="7"/>
      <c r="R228" s="7"/>
      <c r="S228" s="7"/>
      <c r="T228" s="10"/>
      <c r="U228" s="7"/>
      <c r="V228" s="9"/>
      <c r="W228" s="9"/>
      <c r="X228" s="7"/>
      <c r="Y228" s="10"/>
      <c r="Z228" s="10"/>
      <c r="AA228" s="7"/>
      <c r="AB228" s="7"/>
      <c r="AC228" s="7"/>
      <c r="AD228" s="7"/>
      <c r="AE228" s="7"/>
      <c r="AF228" s="7"/>
      <c r="AG228" s="11"/>
      <c r="AH228" s="5"/>
      <c r="AI228" s="5"/>
      <c r="AJ228" s="5"/>
      <c r="AK228" s="5"/>
      <c r="AL228" s="5"/>
      <c r="AM228" s="6"/>
    </row>
    <row r="229" spans="1:39" x14ac:dyDescent="0.35">
      <c r="A229" s="5"/>
      <c r="B229" s="6"/>
      <c r="C229" s="5"/>
      <c r="D229" s="5"/>
      <c r="E229" s="7"/>
      <c r="F229" s="7"/>
      <c r="G229" s="7"/>
      <c r="H229" s="8"/>
      <c r="I229" s="9"/>
      <c r="J229" s="8"/>
      <c r="K229" s="7"/>
      <c r="L229" s="7"/>
      <c r="M229" s="7"/>
      <c r="N229" s="7"/>
      <c r="O229" s="7"/>
      <c r="P229" s="7"/>
      <c r="Q229" s="7"/>
      <c r="R229" s="7"/>
      <c r="S229" s="7"/>
      <c r="T229" s="10"/>
      <c r="U229" s="7"/>
      <c r="V229" s="9"/>
      <c r="W229" s="9"/>
      <c r="X229" s="7"/>
      <c r="Y229" s="10"/>
      <c r="Z229" s="10"/>
      <c r="AA229" s="7"/>
      <c r="AB229" s="7"/>
      <c r="AC229" s="7"/>
      <c r="AD229" s="7"/>
      <c r="AE229" s="7"/>
      <c r="AF229" s="7"/>
      <c r="AG229" s="11"/>
      <c r="AH229" s="5"/>
      <c r="AI229" s="5"/>
      <c r="AJ229" s="5"/>
      <c r="AK229" s="5"/>
      <c r="AL229" s="5"/>
      <c r="AM229" s="6"/>
    </row>
    <row r="230" spans="1:39" x14ac:dyDescent="0.35">
      <c r="A230" s="5"/>
      <c r="B230" s="6"/>
      <c r="C230" s="5"/>
      <c r="D230" s="5"/>
      <c r="E230" s="7"/>
      <c r="F230" s="7"/>
      <c r="G230" s="7"/>
      <c r="H230" s="8"/>
      <c r="I230" s="9"/>
      <c r="J230" s="8"/>
      <c r="K230" s="7"/>
      <c r="L230" s="7"/>
      <c r="M230" s="7"/>
      <c r="N230" s="7"/>
      <c r="O230" s="7"/>
      <c r="P230" s="7"/>
      <c r="Q230" s="7"/>
      <c r="R230" s="7"/>
      <c r="S230" s="7"/>
      <c r="T230" s="10"/>
      <c r="U230" s="7"/>
      <c r="V230" s="9"/>
      <c r="W230" s="9"/>
      <c r="X230" s="7"/>
      <c r="Y230" s="10"/>
      <c r="Z230" s="10"/>
      <c r="AA230" s="7"/>
      <c r="AB230" s="7"/>
      <c r="AC230" s="7"/>
      <c r="AD230" s="7"/>
      <c r="AE230" s="7"/>
      <c r="AF230" s="7"/>
      <c r="AG230" s="11"/>
      <c r="AH230" s="5"/>
      <c r="AI230" s="5"/>
      <c r="AJ230" s="5"/>
      <c r="AK230" s="5"/>
      <c r="AL230" s="5"/>
      <c r="AM230" s="6"/>
    </row>
    <row r="231" spans="1:39" x14ac:dyDescent="0.35">
      <c r="A231" s="5"/>
      <c r="B231" s="6"/>
      <c r="C231" s="5"/>
      <c r="D231" s="5"/>
      <c r="E231" s="7"/>
      <c r="F231" s="7"/>
      <c r="G231" s="7"/>
      <c r="H231" s="8"/>
      <c r="I231" s="9"/>
      <c r="J231" s="8"/>
      <c r="K231" s="7"/>
      <c r="L231" s="7"/>
      <c r="M231" s="7"/>
      <c r="N231" s="7"/>
      <c r="O231" s="7"/>
      <c r="P231" s="7"/>
      <c r="Q231" s="7"/>
      <c r="R231" s="7"/>
      <c r="S231" s="7"/>
      <c r="T231" s="10"/>
      <c r="U231" s="7"/>
      <c r="V231" s="9"/>
      <c r="W231" s="9"/>
      <c r="X231" s="7"/>
      <c r="Y231" s="10"/>
      <c r="Z231" s="10"/>
      <c r="AA231" s="7"/>
      <c r="AB231" s="7"/>
      <c r="AC231" s="7"/>
      <c r="AD231" s="7"/>
      <c r="AE231" s="7"/>
      <c r="AF231" s="7"/>
      <c r="AG231" s="11"/>
      <c r="AH231" s="5"/>
      <c r="AI231" s="5"/>
      <c r="AJ231" s="5"/>
      <c r="AK231" s="5"/>
      <c r="AL231" s="5"/>
      <c r="AM231" s="6"/>
    </row>
    <row r="232" spans="1:39" x14ac:dyDescent="0.35">
      <c r="A232" s="5"/>
      <c r="B232" s="6"/>
      <c r="C232" s="5"/>
      <c r="D232" s="5"/>
      <c r="E232" s="7"/>
      <c r="F232" s="7"/>
      <c r="G232" s="7"/>
      <c r="H232" s="8"/>
      <c r="I232" s="9"/>
      <c r="J232" s="8"/>
      <c r="K232" s="7"/>
      <c r="L232" s="7"/>
      <c r="M232" s="7"/>
      <c r="N232" s="7"/>
      <c r="O232" s="7"/>
      <c r="P232" s="7"/>
      <c r="Q232" s="7"/>
      <c r="R232" s="7"/>
      <c r="S232" s="7"/>
      <c r="T232" s="10"/>
      <c r="U232" s="7"/>
      <c r="V232" s="9"/>
      <c r="W232" s="9"/>
      <c r="X232" s="7"/>
      <c r="Y232" s="10"/>
      <c r="Z232" s="10"/>
      <c r="AA232" s="7"/>
      <c r="AB232" s="7"/>
      <c r="AC232" s="7"/>
      <c r="AD232" s="7"/>
      <c r="AE232" s="7"/>
      <c r="AF232" s="7"/>
      <c r="AG232" s="11"/>
      <c r="AH232" s="5"/>
      <c r="AI232" s="5"/>
      <c r="AJ232" s="5"/>
      <c r="AK232" s="5"/>
      <c r="AL232" s="5"/>
      <c r="AM232" s="6"/>
    </row>
    <row r="233" spans="1:39" x14ac:dyDescent="0.35">
      <c r="A233" s="5"/>
      <c r="B233" s="6"/>
      <c r="C233" s="5"/>
      <c r="D233" s="5"/>
      <c r="E233" s="7"/>
      <c r="F233" s="7"/>
      <c r="G233" s="7"/>
      <c r="H233" s="8"/>
      <c r="I233" s="9"/>
      <c r="J233" s="8"/>
      <c r="K233" s="7"/>
      <c r="L233" s="7"/>
      <c r="M233" s="7"/>
      <c r="N233" s="7"/>
      <c r="O233" s="7"/>
      <c r="P233" s="7"/>
      <c r="Q233" s="7"/>
      <c r="R233" s="7"/>
      <c r="S233" s="7"/>
      <c r="T233" s="10"/>
      <c r="U233" s="7"/>
      <c r="V233" s="9"/>
      <c r="W233" s="9"/>
      <c r="X233" s="7"/>
      <c r="Y233" s="10"/>
      <c r="Z233" s="10"/>
      <c r="AA233" s="7"/>
      <c r="AB233" s="7"/>
      <c r="AC233" s="7"/>
      <c r="AD233" s="7"/>
      <c r="AE233" s="7"/>
      <c r="AF233" s="7"/>
      <c r="AG233" s="11"/>
      <c r="AH233" s="5"/>
      <c r="AI233" s="5"/>
      <c r="AJ233" s="5"/>
      <c r="AK233" s="5"/>
      <c r="AL233" s="5"/>
      <c r="AM233" s="6"/>
    </row>
    <row r="234" spans="1:39" x14ac:dyDescent="0.35">
      <c r="A234" s="5"/>
      <c r="B234" s="6"/>
      <c r="C234" s="5"/>
      <c r="D234" s="5"/>
      <c r="E234" s="7"/>
      <c r="F234" s="7"/>
      <c r="G234" s="7"/>
      <c r="H234" s="8"/>
      <c r="I234" s="9"/>
      <c r="J234" s="8"/>
      <c r="K234" s="7"/>
      <c r="L234" s="7"/>
      <c r="M234" s="7"/>
      <c r="N234" s="7"/>
      <c r="O234" s="7"/>
      <c r="P234" s="7"/>
      <c r="Q234" s="7"/>
      <c r="R234" s="7"/>
      <c r="S234" s="7"/>
      <c r="T234" s="10"/>
      <c r="U234" s="7"/>
      <c r="V234" s="9"/>
      <c r="W234" s="9"/>
      <c r="X234" s="7"/>
      <c r="Y234" s="10"/>
      <c r="Z234" s="10"/>
      <c r="AA234" s="7"/>
      <c r="AB234" s="7"/>
      <c r="AC234" s="7"/>
      <c r="AD234" s="7"/>
      <c r="AE234" s="7"/>
      <c r="AF234" s="7"/>
      <c r="AG234" s="11"/>
      <c r="AH234" s="5"/>
      <c r="AI234" s="5"/>
      <c r="AJ234" s="5"/>
      <c r="AK234" s="5"/>
      <c r="AL234" s="5"/>
      <c r="AM234" s="6"/>
    </row>
    <row r="235" spans="1:39" x14ac:dyDescent="0.35">
      <c r="A235" s="5"/>
      <c r="B235" s="6"/>
      <c r="C235" s="5"/>
      <c r="D235" s="5"/>
      <c r="E235" s="7"/>
      <c r="F235" s="7"/>
      <c r="G235" s="7"/>
      <c r="H235" s="8"/>
      <c r="I235" s="9"/>
      <c r="J235" s="8"/>
      <c r="K235" s="7"/>
      <c r="L235" s="7"/>
      <c r="M235" s="7"/>
      <c r="N235" s="7"/>
      <c r="O235" s="7"/>
      <c r="P235" s="7"/>
      <c r="Q235" s="7"/>
      <c r="R235" s="7"/>
      <c r="S235" s="7"/>
      <c r="T235" s="10"/>
      <c r="U235" s="7"/>
      <c r="V235" s="9"/>
      <c r="W235" s="9"/>
      <c r="X235" s="7"/>
      <c r="Y235" s="10"/>
      <c r="Z235" s="10"/>
      <c r="AA235" s="7"/>
      <c r="AB235" s="7"/>
      <c r="AC235" s="7"/>
      <c r="AD235" s="7"/>
      <c r="AE235" s="7"/>
      <c r="AF235" s="7"/>
      <c r="AG235" s="11"/>
      <c r="AH235" s="5"/>
      <c r="AI235" s="5"/>
      <c r="AJ235" s="5"/>
      <c r="AK235" s="5"/>
      <c r="AL235" s="5"/>
      <c r="AM235" s="6"/>
    </row>
    <row r="236" spans="1:39" x14ac:dyDescent="0.35">
      <c r="A236" s="5"/>
      <c r="B236" s="6"/>
      <c r="C236" s="5"/>
      <c r="D236" s="5"/>
      <c r="E236" s="7"/>
      <c r="F236" s="7"/>
      <c r="G236" s="7"/>
      <c r="H236" s="8"/>
      <c r="I236" s="9"/>
      <c r="J236" s="8"/>
      <c r="K236" s="7"/>
      <c r="L236" s="7"/>
      <c r="M236" s="7"/>
      <c r="N236" s="7"/>
      <c r="O236" s="7"/>
      <c r="P236" s="7"/>
      <c r="Q236" s="7"/>
      <c r="R236" s="7"/>
      <c r="S236" s="7"/>
      <c r="T236" s="10"/>
      <c r="U236" s="7"/>
      <c r="V236" s="9"/>
      <c r="W236" s="9"/>
      <c r="X236" s="7"/>
      <c r="Y236" s="10"/>
      <c r="Z236" s="10"/>
      <c r="AA236" s="7"/>
      <c r="AB236" s="7"/>
      <c r="AC236" s="7"/>
      <c r="AD236" s="7"/>
      <c r="AE236" s="7"/>
      <c r="AF236" s="7"/>
      <c r="AG236" s="11"/>
      <c r="AH236" s="5"/>
      <c r="AI236" s="5"/>
      <c r="AJ236" s="5"/>
      <c r="AK236" s="5"/>
      <c r="AL236" s="5"/>
      <c r="AM236" s="6"/>
    </row>
    <row r="237" spans="1:39" x14ac:dyDescent="0.35">
      <c r="A237" s="5"/>
      <c r="B237" s="6"/>
      <c r="C237" s="5"/>
      <c r="D237" s="5"/>
      <c r="E237" s="7"/>
      <c r="F237" s="7"/>
      <c r="G237" s="7"/>
      <c r="H237" s="8"/>
      <c r="I237" s="9"/>
      <c r="J237" s="8"/>
      <c r="K237" s="7"/>
      <c r="L237" s="7"/>
      <c r="M237" s="7"/>
      <c r="N237" s="7"/>
      <c r="O237" s="7"/>
      <c r="P237" s="7"/>
      <c r="Q237" s="7"/>
      <c r="R237" s="7"/>
      <c r="S237" s="7"/>
      <c r="T237" s="10"/>
      <c r="U237" s="7"/>
      <c r="V237" s="9"/>
      <c r="W237" s="9"/>
      <c r="X237" s="7"/>
      <c r="Y237" s="10"/>
      <c r="Z237" s="10"/>
      <c r="AA237" s="7"/>
      <c r="AB237" s="7"/>
      <c r="AC237" s="7"/>
      <c r="AD237" s="7"/>
      <c r="AE237" s="7"/>
      <c r="AF237" s="7"/>
      <c r="AG237" s="11"/>
      <c r="AH237" s="5"/>
      <c r="AI237" s="5"/>
      <c r="AJ237" s="5"/>
      <c r="AK237" s="5"/>
      <c r="AL237" s="5"/>
      <c r="AM237" s="6"/>
    </row>
    <row r="238" spans="1:39" x14ac:dyDescent="0.35">
      <c r="A238" s="5"/>
      <c r="B238" s="6"/>
      <c r="C238" s="5"/>
      <c r="D238" s="5"/>
      <c r="E238" s="7"/>
      <c r="F238" s="7"/>
      <c r="G238" s="7"/>
      <c r="H238" s="8"/>
      <c r="I238" s="9"/>
      <c r="J238" s="8"/>
      <c r="K238" s="7"/>
      <c r="L238" s="7"/>
      <c r="M238" s="7"/>
      <c r="N238" s="7"/>
      <c r="O238" s="7"/>
      <c r="P238" s="7"/>
      <c r="Q238" s="7"/>
      <c r="R238" s="7"/>
      <c r="S238" s="7"/>
      <c r="T238" s="10"/>
      <c r="U238" s="7"/>
      <c r="V238" s="9"/>
      <c r="W238" s="9"/>
      <c r="X238" s="7"/>
      <c r="Y238" s="10"/>
      <c r="Z238" s="10"/>
      <c r="AA238" s="7"/>
      <c r="AB238" s="7"/>
      <c r="AC238" s="7"/>
      <c r="AD238" s="7"/>
      <c r="AE238" s="7"/>
      <c r="AF238" s="7"/>
      <c r="AG238" s="11"/>
      <c r="AH238" s="5"/>
      <c r="AI238" s="5"/>
      <c r="AJ238" s="5"/>
      <c r="AK238" s="5"/>
      <c r="AL238" s="5"/>
      <c r="AM238" s="6"/>
    </row>
    <row r="239" spans="1:39" x14ac:dyDescent="0.35">
      <c r="A239" s="5"/>
      <c r="B239" s="6"/>
      <c r="C239" s="5"/>
      <c r="D239" s="5"/>
      <c r="E239" s="7"/>
      <c r="F239" s="7"/>
      <c r="G239" s="7"/>
      <c r="H239" s="8"/>
      <c r="I239" s="9"/>
      <c r="J239" s="8"/>
      <c r="K239" s="7"/>
      <c r="L239" s="7"/>
      <c r="M239" s="7"/>
      <c r="N239" s="7"/>
      <c r="O239" s="7"/>
      <c r="P239" s="7"/>
      <c r="Q239" s="7"/>
      <c r="R239" s="7"/>
      <c r="S239" s="7"/>
      <c r="T239" s="10"/>
      <c r="U239" s="7"/>
      <c r="V239" s="9"/>
      <c r="W239" s="9"/>
      <c r="X239" s="7"/>
      <c r="Y239" s="10"/>
      <c r="Z239" s="10"/>
      <c r="AA239" s="7"/>
      <c r="AB239" s="7"/>
      <c r="AC239" s="7"/>
      <c r="AD239" s="7"/>
      <c r="AE239" s="7"/>
      <c r="AF239" s="7"/>
      <c r="AG239" s="11"/>
      <c r="AH239" s="5"/>
      <c r="AI239" s="5"/>
      <c r="AJ239" s="5"/>
      <c r="AK239" s="5"/>
      <c r="AL239" s="5"/>
      <c r="AM239" s="6"/>
    </row>
    <row r="240" spans="1:39" x14ac:dyDescent="0.35">
      <c r="A240" s="5"/>
      <c r="B240" s="6"/>
      <c r="C240" s="5"/>
      <c r="D240" s="5"/>
      <c r="E240" s="7"/>
      <c r="F240" s="7"/>
      <c r="G240" s="7"/>
      <c r="H240" s="8"/>
      <c r="I240" s="9"/>
      <c r="J240" s="8"/>
      <c r="K240" s="7"/>
      <c r="L240" s="7"/>
      <c r="M240" s="7"/>
      <c r="N240" s="7"/>
      <c r="O240" s="7"/>
      <c r="P240" s="7"/>
      <c r="Q240" s="7"/>
      <c r="R240" s="7"/>
      <c r="S240" s="7"/>
      <c r="T240" s="10"/>
      <c r="U240" s="7"/>
      <c r="V240" s="9"/>
      <c r="W240" s="9"/>
      <c r="X240" s="7"/>
      <c r="Y240" s="10"/>
      <c r="Z240" s="10"/>
      <c r="AA240" s="7"/>
      <c r="AB240" s="7"/>
      <c r="AC240" s="7"/>
      <c r="AD240" s="7"/>
      <c r="AE240" s="7"/>
      <c r="AF240" s="7"/>
      <c r="AG240" s="11"/>
      <c r="AH240" s="5"/>
      <c r="AI240" s="5"/>
      <c r="AJ240" s="5"/>
      <c r="AK240" s="5"/>
      <c r="AL240" s="5"/>
      <c r="AM240" s="6"/>
    </row>
    <row r="241" spans="1:39" x14ac:dyDescent="0.35">
      <c r="A241" s="5"/>
      <c r="B241" s="6"/>
      <c r="C241" s="5"/>
      <c r="D241" s="5"/>
      <c r="E241" s="7"/>
      <c r="F241" s="7"/>
      <c r="G241" s="7"/>
      <c r="H241" s="8"/>
      <c r="I241" s="9"/>
      <c r="J241" s="8"/>
      <c r="K241" s="7"/>
      <c r="L241" s="7"/>
      <c r="M241" s="7"/>
      <c r="N241" s="7"/>
      <c r="O241" s="7"/>
      <c r="P241" s="7"/>
      <c r="Q241" s="7"/>
      <c r="R241" s="7"/>
      <c r="S241" s="7"/>
      <c r="T241" s="10"/>
      <c r="U241" s="7"/>
      <c r="V241" s="9"/>
      <c r="W241" s="9"/>
      <c r="X241" s="7"/>
      <c r="Y241" s="10"/>
      <c r="Z241" s="10"/>
      <c r="AA241" s="7"/>
      <c r="AB241" s="7"/>
      <c r="AC241" s="7"/>
      <c r="AD241" s="7"/>
      <c r="AE241" s="7"/>
      <c r="AF241" s="7"/>
      <c r="AG241" s="11"/>
      <c r="AH241" s="5"/>
      <c r="AI241" s="5"/>
      <c r="AJ241" s="5"/>
      <c r="AK241" s="5"/>
      <c r="AL241" s="5"/>
      <c r="AM241" s="6"/>
    </row>
    <row r="242" spans="1:39" x14ac:dyDescent="0.35">
      <c r="A242" s="5"/>
      <c r="B242" s="6"/>
      <c r="C242" s="5"/>
      <c r="D242" s="5"/>
      <c r="E242" s="7"/>
      <c r="F242" s="7"/>
      <c r="G242" s="7"/>
      <c r="H242" s="8"/>
      <c r="I242" s="9"/>
      <c r="J242" s="8"/>
      <c r="K242" s="7"/>
      <c r="L242" s="7"/>
      <c r="M242" s="7"/>
      <c r="N242" s="7"/>
      <c r="O242" s="7"/>
      <c r="P242" s="7"/>
      <c r="Q242" s="7"/>
      <c r="R242" s="7"/>
      <c r="S242" s="7"/>
      <c r="T242" s="10"/>
      <c r="U242" s="7"/>
      <c r="V242" s="9"/>
      <c r="W242" s="9"/>
      <c r="X242" s="7"/>
      <c r="Y242" s="10"/>
      <c r="Z242" s="10"/>
      <c r="AA242" s="7"/>
      <c r="AB242" s="7"/>
      <c r="AC242" s="7"/>
      <c r="AD242" s="7"/>
      <c r="AE242" s="7"/>
      <c r="AF242" s="7"/>
      <c r="AG242" s="11"/>
      <c r="AH242" s="5"/>
      <c r="AI242" s="5"/>
      <c r="AJ242" s="5"/>
      <c r="AK242" s="5"/>
      <c r="AL242" s="5"/>
      <c r="AM242" s="6"/>
    </row>
    <row r="243" spans="1:39" x14ac:dyDescent="0.35">
      <c r="A243" s="5"/>
      <c r="B243" s="6"/>
      <c r="C243" s="5"/>
      <c r="D243" s="5"/>
      <c r="E243" s="7"/>
      <c r="F243" s="7"/>
      <c r="G243" s="7"/>
      <c r="H243" s="8"/>
      <c r="I243" s="9"/>
      <c r="J243" s="8"/>
      <c r="K243" s="7"/>
      <c r="L243" s="7"/>
      <c r="M243" s="7"/>
      <c r="N243" s="7"/>
      <c r="O243" s="7"/>
      <c r="P243" s="7"/>
      <c r="Q243" s="7"/>
      <c r="R243" s="7"/>
      <c r="S243" s="7"/>
      <c r="T243" s="10"/>
      <c r="U243" s="7"/>
      <c r="V243" s="9"/>
      <c r="W243" s="9"/>
      <c r="X243" s="7"/>
      <c r="Y243" s="10"/>
      <c r="Z243" s="10"/>
      <c r="AA243" s="7"/>
      <c r="AB243" s="7"/>
      <c r="AC243" s="7"/>
      <c r="AD243" s="7"/>
      <c r="AE243" s="7"/>
      <c r="AF243" s="7"/>
      <c r="AG243" s="11"/>
      <c r="AH243" s="5"/>
      <c r="AI243" s="5"/>
      <c r="AJ243" s="5"/>
      <c r="AK243" s="5"/>
      <c r="AL243" s="5"/>
      <c r="AM243" s="6"/>
    </row>
    <row r="244" spans="1:39" x14ac:dyDescent="0.35">
      <c r="A244" s="5"/>
      <c r="B244" s="6"/>
      <c r="C244" s="5"/>
      <c r="D244" s="5"/>
      <c r="E244" s="7"/>
      <c r="F244" s="7"/>
      <c r="G244" s="7"/>
      <c r="H244" s="8"/>
      <c r="I244" s="9"/>
      <c r="J244" s="8"/>
      <c r="K244" s="7"/>
      <c r="L244" s="7"/>
      <c r="M244" s="7"/>
      <c r="N244" s="7"/>
      <c r="O244" s="7"/>
      <c r="P244" s="7"/>
      <c r="Q244" s="7"/>
      <c r="R244" s="7"/>
      <c r="S244" s="7"/>
      <c r="T244" s="10"/>
      <c r="U244" s="7"/>
      <c r="V244" s="9"/>
      <c r="W244" s="9"/>
      <c r="X244" s="7"/>
      <c r="Y244" s="10"/>
      <c r="Z244" s="10"/>
      <c r="AA244" s="7"/>
      <c r="AB244" s="7"/>
      <c r="AC244" s="7"/>
      <c r="AD244" s="7"/>
      <c r="AE244" s="7"/>
      <c r="AF244" s="7"/>
      <c r="AG244" s="11"/>
      <c r="AH244" s="5"/>
      <c r="AI244" s="5"/>
      <c r="AJ244" s="5"/>
      <c r="AK244" s="5"/>
      <c r="AL244" s="5"/>
      <c r="AM244" s="6"/>
    </row>
    <row r="245" spans="1:39" x14ac:dyDescent="0.35">
      <c r="A245" s="5"/>
      <c r="B245" s="6"/>
      <c r="C245" s="5"/>
      <c r="D245" s="5"/>
      <c r="E245" s="7"/>
      <c r="F245" s="7"/>
      <c r="G245" s="7"/>
      <c r="H245" s="8"/>
      <c r="I245" s="9"/>
      <c r="J245" s="8"/>
      <c r="K245" s="7"/>
      <c r="L245" s="7"/>
      <c r="M245" s="7"/>
      <c r="N245" s="7"/>
      <c r="O245" s="7"/>
      <c r="P245" s="7"/>
      <c r="Q245" s="7"/>
      <c r="R245" s="7"/>
      <c r="S245" s="7"/>
      <c r="T245" s="10"/>
      <c r="U245" s="7"/>
      <c r="V245" s="9"/>
      <c r="W245" s="9"/>
      <c r="X245" s="7"/>
      <c r="Y245" s="10"/>
      <c r="Z245" s="10"/>
      <c r="AA245" s="7"/>
      <c r="AB245" s="7"/>
      <c r="AC245" s="7"/>
      <c r="AD245" s="7"/>
      <c r="AE245" s="7"/>
      <c r="AF245" s="7"/>
      <c r="AG245" s="11"/>
      <c r="AH245" s="5"/>
      <c r="AI245" s="5"/>
      <c r="AJ245" s="5"/>
      <c r="AK245" s="5"/>
      <c r="AL245" s="5"/>
      <c r="AM245" s="6"/>
    </row>
    <row r="246" spans="1:39" x14ac:dyDescent="0.35">
      <c r="A246" s="5"/>
      <c r="B246" s="6"/>
      <c r="C246" s="5"/>
      <c r="D246" s="5"/>
      <c r="E246" s="7"/>
      <c r="F246" s="7"/>
      <c r="G246" s="7"/>
      <c r="H246" s="8"/>
      <c r="I246" s="9"/>
      <c r="J246" s="8"/>
      <c r="K246" s="7"/>
      <c r="L246" s="7"/>
      <c r="M246" s="7"/>
      <c r="N246" s="7"/>
      <c r="O246" s="7"/>
      <c r="P246" s="7"/>
      <c r="Q246" s="7"/>
      <c r="R246" s="7"/>
      <c r="S246" s="7"/>
      <c r="T246" s="10"/>
      <c r="U246" s="7"/>
      <c r="V246" s="9"/>
      <c r="W246" s="9"/>
      <c r="X246" s="7"/>
      <c r="Y246" s="10"/>
      <c r="Z246" s="10"/>
      <c r="AA246" s="7"/>
      <c r="AB246" s="7"/>
      <c r="AC246" s="7"/>
      <c r="AD246" s="7"/>
      <c r="AE246" s="7"/>
      <c r="AF246" s="7"/>
      <c r="AG246" s="11"/>
      <c r="AH246" s="5"/>
      <c r="AI246" s="5"/>
      <c r="AJ246" s="5"/>
      <c r="AK246" s="5"/>
      <c r="AL246" s="5"/>
      <c r="AM246" s="6"/>
    </row>
    <row r="247" spans="1:39" x14ac:dyDescent="0.35">
      <c r="A247" s="5"/>
      <c r="B247" s="6"/>
      <c r="C247" s="5"/>
      <c r="D247" s="5"/>
      <c r="E247" s="7"/>
      <c r="F247" s="7"/>
      <c r="G247" s="7"/>
      <c r="H247" s="8"/>
      <c r="I247" s="9"/>
      <c r="J247" s="8"/>
      <c r="K247" s="7"/>
      <c r="L247" s="7"/>
      <c r="M247" s="7"/>
      <c r="N247" s="7"/>
      <c r="O247" s="7"/>
      <c r="P247" s="7"/>
      <c r="Q247" s="7"/>
      <c r="R247" s="7"/>
      <c r="S247" s="7"/>
      <c r="T247" s="10"/>
      <c r="U247" s="7"/>
      <c r="V247" s="9"/>
      <c r="W247" s="9"/>
      <c r="X247" s="7"/>
      <c r="Y247" s="10"/>
      <c r="Z247" s="10"/>
      <c r="AA247" s="7"/>
      <c r="AB247" s="7"/>
      <c r="AC247" s="7"/>
      <c r="AD247" s="7"/>
      <c r="AE247" s="7"/>
      <c r="AF247" s="7"/>
      <c r="AG247" s="11"/>
      <c r="AH247" s="5"/>
      <c r="AI247" s="5"/>
      <c r="AJ247" s="5"/>
      <c r="AK247" s="5"/>
      <c r="AL247" s="5"/>
      <c r="AM247" s="6"/>
    </row>
    <row r="248" spans="1:39" x14ac:dyDescent="0.35">
      <c r="A248" s="5"/>
      <c r="B248" s="6"/>
      <c r="C248" s="5"/>
      <c r="D248" s="5"/>
      <c r="E248" s="7"/>
      <c r="F248" s="7"/>
      <c r="G248" s="7"/>
      <c r="H248" s="8"/>
      <c r="I248" s="9"/>
      <c r="J248" s="8"/>
      <c r="K248" s="7"/>
      <c r="L248" s="7"/>
      <c r="M248" s="7"/>
      <c r="N248" s="7"/>
      <c r="O248" s="7"/>
      <c r="P248" s="7"/>
      <c r="Q248" s="7"/>
      <c r="R248" s="7"/>
      <c r="S248" s="7"/>
      <c r="T248" s="10"/>
      <c r="U248" s="7"/>
      <c r="V248" s="9"/>
      <c r="W248" s="9"/>
      <c r="X248" s="7"/>
      <c r="Y248" s="10"/>
      <c r="Z248" s="10"/>
      <c r="AA248" s="7"/>
      <c r="AB248" s="7"/>
      <c r="AC248" s="7"/>
      <c r="AD248" s="7"/>
      <c r="AE248" s="7"/>
      <c r="AF248" s="7"/>
      <c r="AG248" s="11"/>
      <c r="AH248" s="5"/>
      <c r="AI248" s="5"/>
      <c r="AJ248" s="5"/>
      <c r="AK248" s="5"/>
      <c r="AL248" s="5"/>
      <c r="AM248" s="6"/>
    </row>
    <row r="249" spans="1:39" x14ac:dyDescent="0.35">
      <c r="A249" s="5"/>
      <c r="B249" s="6"/>
      <c r="C249" s="5"/>
      <c r="D249" s="5"/>
      <c r="E249" s="7"/>
      <c r="F249" s="7"/>
      <c r="G249" s="7"/>
      <c r="H249" s="8"/>
      <c r="I249" s="9"/>
      <c r="J249" s="8"/>
      <c r="K249" s="7"/>
      <c r="L249" s="7"/>
      <c r="M249" s="7"/>
      <c r="N249" s="7"/>
      <c r="O249" s="7"/>
      <c r="P249" s="7"/>
      <c r="Q249" s="7"/>
      <c r="R249" s="7"/>
      <c r="S249" s="7"/>
      <c r="T249" s="10"/>
      <c r="U249" s="7"/>
      <c r="V249" s="9"/>
      <c r="W249" s="9"/>
      <c r="X249" s="7"/>
      <c r="Y249" s="10"/>
      <c r="Z249" s="10"/>
      <c r="AA249" s="7"/>
      <c r="AB249" s="7"/>
      <c r="AC249" s="7"/>
      <c r="AD249" s="7"/>
      <c r="AE249" s="7"/>
      <c r="AF249" s="7"/>
      <c r="AG249" s="11"/>
      <c r="AH249" s="5"/>
      <c r="AI249" s="5"/>
      <c r="AJ249" s="5"/>
      <c r="AK249" s="5"/>
      <c r="AL249" s="5"/>
      <c r="AM249" s="6"/>
    </row>
    <row r="250" spans="1:39" x14ac:dyDescent="0.35">
      <c r="A250" s="5"/>
      <c r="B250" s="6"/>
      <c r="C250" s="5"/>
      <c r="D250" s="5"/>
      <c r="E250" s="7"/>
      <c r="F250" s="7"/>
      <c r="G250" s="7"/>
      <c r="H250" s="8"/>
      <c r="I250" s="9"/>
      <c r="J250" s="8"/>
      <c r="K250" s="7"/>
      <c r="L250" s="7"/>
      <c r="M250" s="7"/>
      <c r="N250" s="7"/>
      <c r="O250" s="7"/>
      <c r="P250" s="7"/>
      <c r="Q250" s="7"/>
      <c r="R250" s="7"/>
      <c r="S250" s="7"/>
      <c r="T250" s="10"/>
      <c r="U250" s="7"/>
      <c r="V250" s="9"/>
      <c r="W250" s="9"/>
      <c r="X250" s="7"/>
      <c r="Y250" s="10"/>
      <c r="Z250" s="10"/>
      <c r="AA250" s="7"/>
      <c r="AB250" s="7"/>
      <c r="AC250" s="7"/>
      <c r="AD250" s="7"/>
      <c r="AE250" s="7"/>
      <c r="AF250" s="7"/>
      <c r="AG250" s="11"/>
      <c r="AH250" s="5"/>
      <c r="AI250" s="5"/>
      <c r="AJ250" s="5"/>
      <c r="AK250" s="5"/>
      <c r="AL250" s="5"/>
      <c r="AM250" s="6"/>
    </row>
    <row r="251" spans="1:39" x14ac:dyDescent="0.35">
      <c r="A251" s="5"/>
      <c r="B251" s="6"/>
      <c r="C251" s="5"/>
      <c r="D251" s="5"/>
      <c r="E251" s="7"/>
      <c r="F251" s="7"/>
      <c r="G251" s="7"/>
      <c r="H251" s="8"/>
      <c r="I251" s="9"/>
      <c r="J251" s="8"/>
      <c r="K251" s="7"/>
      <c r="L251" s="7"/>
      <c r="M251" s="7"/>
      <c r="N251" s="7"/>
      <c r="O251" s="7"/>
      <c r="P251" s="7"/>
      <c r="Q251" s="7"/>
      <c r="R251" s="7"/>
      <c r="S251" s="7"/>
      <c r="T251" s="10"/>
      <c r="U251" s="7"/>
      <c r="V251" s="9"/>
      <c r="W251" s="9"/>
      <c r="X251" s="7"/>
      <c r="Y251" s="10"/>
      <c r="Z251" s="10"/>
      <c r="AA251" s="7"/>
      <c r="AB251" s="7"/>
      <c r="AC251" s="7"/>
      <c r="AD251" s="7"/>
      <c r="AE251" s="7"/>
      <c r="AF251" s="7"/>
      <c r="AG251" s="11"/>
      <c r="AH251" s="5"/>
      <c r="AI251" s="5"/>
      <c r="AJ251" s="5"/>
      <c r="AK251" s="5"/>
      <c r="AL251" s="5"/>
      <c r="AM251" s="6"/>
    </row>
    <row r="252" spans="1:39" x14ac:dyDescent="0.35">
      <c r="A252" s="5"/>
      <c r="B252" s="6"/>
      <c r="C252" s="5"/>
      <c r="D252" s="5"/>
      <c r="E252" s="7"/>
      <c r="F252" s="7"/>
      <c r="G252" s="7"/>
      <c r="H252" s="8"/>
      <c r="I252" s="9"/>
      <c r="J252" s="8"/>
      <c r="K252" s="7"/>
      <c r="L252" s="7"/>
      <c r="M252" s="7"/>
      <c r="N252" s="7"/>
      <c r="O252" s="7"/>
      <c r="P252" s="7"/>
      <c r="Q252" s="7"/>
      <c r="R252" s="7"/>
      <c r="S252" s="7"/>
      <c r="T252" s="10"/>
      <c r="U252" s="7"/>
      <c r="V252" s="9"/>
      <c r="W252" s="9"/>
      <c r="X252" s="7"/>
      <c r="Y252" s="10"/>
      <c r="Z252" s="10"/>
      <c r="AA252" s="7"/>
      <c r="AB252" s="7"/>
      <c r="AC252" s="7"/>
      <c r="AD252" s="7"/>
      <c r="AE252" s="7"/>
      <c r="AF252" s="7"/>
      <c r="AG252" s="11"/>
      <c r="AH252" s="5"/>
      <c r="AI252" s="5"/>
      <c r="AJ252" s="5"/>
      <c r="AK252" s="5"/>
      <c r="AL252" s="5"/>
      <c r="AM252" s="6"/>
    </row>
    <row r="253" spans="1:39" x14ac:dyDescent="0.35">
      <c r="A253" s="5"/>
      <c r="B253" s="6"/>
      <c r="C253" s="5"/>
      <c r="D253" s="5"/>
      <c r="E253" s="7"/>
      <c r="F253" s="7"/>
      <c r="G253" s="7"/>
      <c r="H253" s="8"/>
      <c r="I253" s="9"/>
      <c r="J253" s="8"/>
      <c r="K253" s="7"/>
      <c r="L253" s="7"/>
      <c r="M253" s="7"/>
      <c r="N253" s="7"/>
      <c r="O253" s="7"/>
      <c r="P253" s="7"/>
      <c r="Q253" s="7"/>
      <c r="R253" s="7"/>
      <c r="S253" s="7"/>
      <c r="T253" s="10"/>
      <c r="U253" s="7"/>
      <c r="V253" s="9"/>
      <c r="W253" s="9"/>
      <c r="X253" s="7"/>
      <c r="Y253" s="10"/>
      <c r="Z253" s="10"/>
      <c r="AA253" s="7"/>
      <c r="AB253" s="7"/>
      <c r="AC253" s="7"/>
      <c r="AD253" s="7"/>
      <c r="AE253" s="7"/>
      <c r="AF253" s="7"/>
      <c r="AG253" s="11"/>
      <c r="AH253" s="5"/>
      <c r="AI253" s="5"/>
      <c r="AJ253" s="5"/>
      <c r="AK253" s="5"/>
      <c r="AL253" s="5"/>
      <c r="AM253" s="6"/>
    </row>
    <row r="254" spans="1:39" x14ac:dyDescent="0.35">
      <c r="A254" s="5"/>
      <c r="B254" s="6"/>
      <c r="C254" s="5"/>
      <c r="D254" s="5"/>
      <c r="E254" s="7"/>
      <c r="F254" s="7"/>
      <c r="G254" s="7"/>
      <c r="H254" s="8"/>
      <c r="I254" s="9"/>
      <c r="J254" s="8"/>
      <c r="K254" s="7"/>
      <c r="L254" s="7"/>
      <c r="M254" s="7"/>
      <c r="N254" s="7"/>
      <c r="O254" s="7"/>
      <c r="P254" s="7"/>
      <c r="Q254" s="7"/>
      <c r="R254" s="7"/>
      <c r="S254" s="7"/>
      <c r="T254" s="10"/>
      <c r="U254" s="7"/>
      <c r="V254" s="9"/>
      <c r="W254" s="9"/>
      <c r="X254" s="7"/>
      <c r="Y254" s="10"/>
      <c r="Z254" s="10"/>
      <c r="AA254" s="7"/>
      <c r="AB254" s="7"/>
      <c r="AC254" s="7"/>
      <c r="AD254" s="7"/>
      <c r="AE254" s="7"/>
      <c r="AF254" s="7"/>
      <c r="AG254" s="11"/>
      <c r="AH254" s="5"/>
      <c r="AI254" s="5"/>
      <c r="AJ254" s="5"/>
      <c r="AK254" s="5"/>
      <c r="AL254" s="5"/>
      <c r="AM254" s="6"/>
    </row>
    <row r="255" spans="1:39" x14ac:dyDescent="0.35">
      <c r="A255" s="5"/>
      <c r="B255" s="6"/>
      <c r="C255" s="5"/>
      <c r="D255" s="5"/>
      <c r="E255" s="7"/>
      <c r="F255" s="7"/>
      <c r="G255" s="7"/>
      <c r="H255" s="8"/>
      <c r="I255" s="9"/>
      <c r="J255" s="8"/>
      <c r="K255" s="7"/>
      <c r="L255" s="7"/>
      <c r="M255" s="7"/>
      <c r="N255" s="7"/>
      <c r="O255" s="7"/>
      <c r="P255" s="7"/>
      <c r="Q255" s="7"/>
      <c r="R255" s="7"/>
      <c r="S255" s="7"/>
      <c r="T255" s="10"/>
      <c r="U255" s="7"/>
      <c r="V255" s="9"/>
      <c r="W255" s="9"/>
      <c r="X255" s="7"/>
      <c r="Y255" s="10"/>
      <c r="Z255" s="10"/>
      <c r="AA255" s="7"/>
      <c r="AB255" s="7"/>
      <c r="AC255" s="7"/>
      <c r="AD255" s="7"/>
      <c r="AE255" s="7"/>
      <c r="AF255" s="7"/>
      <c r="AG255" s="11"/>
      <c r="AH255" s="5"/>
      <c r="AI255" s="5"/>
      <c r="AJ255" s="5"/>
      <c r="AK255" s="5"/>
      <c r="AL255" s="5"/>
      <c r="AM255" s="6"/>
    </row>
    <row r="256" spans="1:39" x14ac:dyDescent="0.35">
      <c r="A256" s="5"/>
      <c r="B256" s="6"/>
      <c r="C256" s="5"/>
      <c r="D256" s="5"/>
      <c r="E256" s="7"/>
      <c r="F256" s="7"/>
      <c r="G256" s="7"/>
      <c r="H256" s="8"/>
      <c r="I256" s="9"/>
      <c r="J256" s="8"/>
      <c r="K256" s="7"/>
      <c r="L256" s="7"/>
      <c r="M256" s="7"/>
      <c r="N256" s="7"/>
      <c r="O256" s="7"/>
      <c r="P256" s="7"/>
      <c r="Q256" s="7"/>
      <c r="R256" s="7"/>
      <c r="S256" s="7"/>
      <c r="T256" s="10"/>
      <c r="U256" s="7"/>
      <c r="V256" s="9"/>
      <c r="W256" s="9"/>
      <c r="X256" s="7"/>
      <c r="Y256" s="10"/>
      <c r="Z256" s="10"/>
      <c r="AA256" s="7"/>
      <c r="AB256" s="7"/>
      <c r="AC256" s="7"/>
      <c r="AD256" s="7"/>
      <c r="AE256" s="7"/>
      <c r="AF256" s="7"/>
      <c r="AG256" s="11"/>
      <c r="AH256" s="5"/>
      <c r="AI256" s="5"/>
      <c r="AJ256" s="5"/>
      <c r="AK256" s="5"/>
      <c r="AL256" s="5"/>
      <c r="AM256" s="6"/>
    </row>
    <row r="257" spans="1:39" x14ac:dyDescent="0.35">
      <c r="A257" s="5"/>
      <c r="B257" s="6"/>
      <c r="C257" s="5"/>
      <c r="D257" s="5"/>
      <c r="E257" s="7"/>
      <c r="F257" s="7"/>
      <c r="G257" s="7"/>
      <c r="H257" s="8"/>
      <c r="I257" s="9"/>
      <c r="J257" s="8"/>
      <c r="K257" s="7"/>
      <c r="L257" s="7"/>
      <c r="M257" s="7"/>
      <c r="N257" s="7"/>
      <c r="O257" s="7"/>
      <c r="P257" s="7"/>
      <c r="Q257" s="7"/>
      <c r="R257" s="7"/>
      <c r="S257" s="7"/>
      <c r="T257" s="10"/>
      <c r="U257" s="7"/>
      <c r="V257" s="9"/>
      <c r="W257" s="9"/>
      <c r="X257" s="7"/>
      <c r="Y257" s="10"/>
      <c r="Z257" s="10"/>
      <c r="AA257" s="7"/>
      <c r="AB257" s="7"/>
      <c r="AC257" s="7"/>
      <c r="AD257" s="7"/>
      <c r="AE257" s="7"/>
      <c r="AF257" s="7"/>
      <c r="AG257" s="11"/>
      <c r="AH257" s="5"/>
      <c r="AI257" s="5"/>
      <c r="AJ257" s="5"/>
      <c r="AK257" s="5"/>
      <c r="AL257" s="5"/>
      <c r="AM257" s="6"/>
    </row>
    <row r="258" spans="1:39" x14ac:dyDescent="0.35">
      <c r="A258" s="5"/>
      <c r="B258" s="6"/>
      <c r="C258" s="5"/>
      <c r="D258" s="5"/>
      <c r="E258" s="7"/>
      <c r="F258" s="7"/>
      <c r="G258" s="7"/>
      <c r="H258" s="8"/>
      <c r="I258" s="9"/>
      <c r="J258" s="8"/>
      <c r="K258" s="7"/>
      <c r="L258" s="7"/>
      <c r="M258" s="7"/>
      <c r="N258" s="7"/>
      <c r="O258" s="7"/>
      <c r="P258" s="7"/>
      <c r="Q258" s="7"/>
      <c r="R258" s="7"/>
      <c r="S258" s="7"/>
      <c r="T258" s="10"/>
      <c r="U258" s="7"/>
      <c r="V258" s="9"/>
      <c r="W258" s="9"/>
      <c r="X258" s="7"/>
      <c r="Y258" s="10"/>
      <c r="Z258" s="10"/>
      <c r="AA258" s="7"/>
      <c r="AB258" s="7"/>
      <c r="AC258" s="7"/>
      <c r="AD258" s="7"/>
      <c r="AE258" s="7"/>
      <c r="AF258" s="7"/>
      <c r="AG258" s="11"/>
      <c r="AH258" s="5"/>
      <c r="AI258" s="5"/>
      <c r="AJ258" s="5"/>
      <c r="AK258" s="5"/>
      <c r="AL258" s="5"/>
      <c r="AM258" s="6"/>
    </row>
    <row r="259" spans="1:39" x14ac:dyDescent="0.35">
      <c r="A259" s="5"/>
      <c r="B259" s="6"/>
      <c r="C259" s="5"/>
      <c r="D259" s="5"/>
      <c r="E259" s="7"/>
      <c r="F259" s="7"/>
      <c r="G259" s="7"/>
      <c r="H259" s="8"/>
      <c r="I259" s="9"/>
      <c r="J259" s="8"/>
      <c r="K259" s="7"/>
      <c r="L259" s="7"/>
      <c r="M259" s="7"/>
      <c r="N259" s="7"/>
      <c r="O259" s="7"/>
      <c r="P259" s="7"/>
      <c r="Q259" s="7"/>
      <c r="R259" s="7"/>
      <c r="S259" s="7"/>
      <c r="T259" s="10"/>
      <c r="U259" s="7"/>
      <c r="V259" s="9"/>
      <c r="W259" s="9"/>
      <c r="X259" s="7"/>
      <c r="Y259" s="10"/>
      <c r="Z259" s="10"/>
      <c r="AA259" s="7"/>
      <c r="AB259" s="7"/>
      <c r="AC259" s="7"/>
      <c r="AD259" s="7"/>
      <c r="AE259" s="7"/>
      <c r="AF259" s="7"/>
      <c r="AG259" s="11"/>
      <c r="AH259" s="5"/>
      <c r="AI259" s="5"/>
      <c r="AJ259" s="5"/>
      <c r="AK259" s="5"/>
      <c r="AL259" s="5"/>
      <c r="AM259" s="6"/>
    </row>
    <row r="260" spans="1:39" x14ac:dyDescent="0.35">
      <c r="A260" s="5"/>
      <c r="B260" s="6"/>
      <c r="C260" s="5"/>
      <c r="D260" s="5"/>
      <c r="E260" s="7"/>
      <c r="F260" s="7"/>
      <c r="G260" s="7"/>
      <c r="H260" s="8"/>
      <c r="I260" s="9"/>
      <c r="J260" s="8"/>
      <c r="K260" s="7"/>
      <c r="L260" s="7"/>
      <c r="M260" s="7"/>
      <c r="N260" s="7"/>
      <c r="O260" s="7"/>
      <c r="P260" s="7"/>
      <c r="Q260" s="7"/>
      <c r="R260" s="7"/>
      <c r="S260" s="7"/>
      <c r="T260" s="10"/>
      <c r="U260" s="7"/>
      <c r="V260" s="9"/>
      <c r="W260" s="9"/>
      <c r="X260" s="7"/>
      <c r="Y260" s="10"/>
      <c r="Z260" s="10"/>
      <c r="AA260" s="7"/>
      <c r="AB260" s="7"/>
      <c r="AC260" s="7"/>
      <c r="AD260" s="7"/>
      <c r="AE260" s="7"/>
      <c r="AF260" s="7"/>
      <c r="AG260" s="11"/>
      <c r="AH260" s="5"/>
      <c r="AI260" s="5"/>
      <c r="AJ260" s="5"/>
      <c r="AK260" s="5"/>
      <c r="AL260" s="5"/>
      <c r="AM260" s="6"/>
    </row>
    <row r="261" spans="1:39" x14ac:dyDescent="0.35">
      <c r="A261" s="5"/>
      <c r="B261" s="6"/>
      <c r="C261" s="5"/>
      <c r="D261" s="5"/>
      <c r="E261" s="7"/>
      <c r="F261" s="7"/>
      <c r="G261" s="7"/>
      <c r="H261" s="8"/>
      <c r="I261" s="9"/>
      <c r="J261" s="8"/>
      <c r="K261" s="7"/>
      <c r="L261" s="7"/>
      <c r="M261" s="7"/>
      <c r="N261" s="7"/>
      <c r="O261" s="7"/>
      <c r="P261" s="7"/>
      <c r="Q261" s="7"/>
      <c r="R261" s="7"/>
      <c r="S261" s="7"/>
      <c r="T261" s="10"/>
      <c r="U261" s="7"/>
      <c r="V261" s="9"/>
      <c r="W261" s="9"/>
      <c r="X261" s="7"/>
      <c r="Y261" s="10"/>
      <c r="Z261" s="10"/>
      <c r="AA261" s="7"/>
      <c r="AB261" s="7"/>
      <c r="AC261" s="7"/>
      <c r="AD261" s="7"/>
      <c r="AE261" s="7"/>
      <c r="AF261" s="7"/>
      <c r="AG261" s="11"/>
      <c r="AH261" s="5"/>
      <c r="AI261" s="5"/>
      <c r="AJ261" s="5"/>
      <c r="AK261" s="5"/>
      <c r="AL261" s="5"/>
      <c r="AM261" s="6"/>
    </row>
    <row r="262" spans="1:39" x14ac:dyDescent="0.35">
      <c r="A262" s="5"/>
      <c r="B262" s="6"/>
      <c r="C262" s="5"/>
      <c r="D262" s="5"/>
      <c r="E262" s="7"/>
      <c r="F262" s="7"/>
      <c r="G262" s="7"/>
      <c r="H262" s="8"/>
      <c r="I262" s="9"/>
      <c r="J262" s="8"/>
      <c r="K262" s="7"/>
      <c r="L262" s="7"/>
      <c r="M262" s="7"/>
      <c r="N262" s="7"/>
      <c r="O262" s="7"/>
      <c r="P262" s="7"/>
      <c r="Q262" s="7"/>
      <c r="R262" s="7"/>
      <c r="S262" s="7"/>
      <c r="T262" s="10"/>
      <c r="U262" s="7"/>
      <c r="V262" s="9"/>
      <c r="W262" s="9"/>
      <c r="X262" s="7"/>
      <c r="Y262" s="10"/>
      <c r="Z262" s="10"/>
      <c r="AA262" s="7"/>
      <c r="AB262" s="7"/>
      <c r="AC262" s="7"/>
      <c r="AD262" s="7"/>
      <c r="AE262" s="7"/>
      <c r="AF262" s="7"/>
      <c r="AG262" s="11"/>
      <c r="AH262" s="5"/>
      <c r="AI262" s="5"/>
      <c r="AJ262" s="5"/>
      <c r="AK262" s="5"/>
      <c r="AL262" s="5"/>
      <c r="AM262" s="6"/>
    </row>
    <row r="263" spans="1:39" x14ac:dyDescent="0.35">
      <c r="A263" s="5"/>
      <c r="B263" s="6"/>
      <c r="C263" s="5"/>
      <c r="D263" s="5"/>
      <c r="E263" s="7"/>
      <c r="F263" s="7"/>
      <c r="G263" s="7"/>
      <c r="H263" s="8"/>
      <c r="I263" s="9"/>
      <c r="J263" s="8"/>
      <c r="K263" s="7"/>
      <c r="L263" s="7"/>
      <c r="M263" s="7"/>
      <c r="N263" s="7"/>
      <c r="O263" s="7"/>
      <c r="P263" s="7"/>
      <c r="Q263" s="7"/>
      <c r="R263" s="7"/>
      <c r="S263" s="7"/>
      <c r="T263" s="10"/>
      <c r="U263" s="7"/>
      <c r="V263" s="9"/>
      <c r="W263" s="9"/>
      <c r="X263" s="7"/>
      <c r="Y263" s="10"/>
      <c r="Z263" s="10"/>
      <c r="AA263" s="7"/>
      <c r="AB263" s="7"/>
      <c r="AC263" s="7"/>
      <c r="AD263" s="7"/>
      <c r="AE263" s="7"/>
      <c r="AF263" s="7"/>
      <c r="AG263" s="11"/>
      <c r="AH263" s="5"/>
      <c r="AI263" s="5"/>
      <c r="AJ263" s="5"/>
      <c r="AK263" s="5"/>
      <c r="AL263" s="5"/>
      <c r="AM263" s="6"/>
    </row>
    <row r="264" spans="1:39" x14ac:dyDescent="0.35">
      <c r="A264" s="5"/>
      <c r="B264" s="6"/>
      <c r="C264" s="5"/>
      <c r="D264" s="5"/>
      <c r="E264" s="7"/>
      <c r="F264" s="7"/>
      <c r="G264" s="7"/>
      <c r="H264" s="8"/>
      <c r="I264" s="9"/>
      <c r="J264" s="8"/>
      <c r="K264" s="7"/>
      <c r="L264" s="7"/>
      <c r="M264" s="7"/>
      <c r="N264" s="7"/>
      <c r="O264" s="7"/>
      <c r="P264" s="7"/>
      <c r="Q264" s="7"/>
      <c r="R264" s="7"/>
      <c r="S264" s="7"/>
      <c r="T264" s="10"/>
      <c r="U264" s="7"/>
      <c r="V264" s="9"/>
      <c r="W264" s="9"/>
      <c r="X264" s="7"/>
      <c r="Y264" s="10"/>
      <c r="Z264" s="10"/>
      <c r="AA264" s="7"/>
      <c r="AB264" s="7"/>
      <c r="AC264" s="7"/>
      <c r="AD264" s="7"/>
      <c r="AE264" s="7"/>
      <c r="AF264" s="7"/>
      <c r="AG264" s="11"/>
      <c r="AH264" s="5"/>
      <c r="AI264" s="5"/>
      <c r="AJ264" s="5"/>
      <c r="AK264" s="5"/>
      <c r="AL264" s="5"/>
      <c r="AM264" s="6"/>
    </row>
    <row r="265" spans="1:39" x14ac:dyDescent="0.35">
      <c r="A265" s="5"/>
      <c r="B265" s="6"/>
      <c r="C265" s="5"/>
      <c r="D265" s="5"/>
      <c r="E265" s="7"/>
      <c r="F265" s="7"/>
      <c r="G265" s="7"/>
      <c r="H265" s="8"/>
      <c r="I265" s="9"/>
      <c r="J265" s="8"/>
      <c r="K265" s="7"/>
      <c r="L265" s="7"/>
      <c r="M265" s="7"/>
      <c r="N265" s="7"/>
      <c r="O265" s="7"/>
      <c r="P265" s="7"/>
      <c r="Q265" s="7"/>
      <c r="R265" s="7"/>
      <c r="S265" s="7"/>
      <c r="T265" s="10"/>
      <c r="U265" s="7"/>
      <c r="V265" s="9"/>
      <c r="W265" s="9"/>
      <c r="X265" s="7"/>
      <c r="Y265" s="10"/>
      <c r="Z265" s="10"/>
      <c r="AA265" s="7"/>
      <c r="AB265" s="7"/>
      <c r="AC265" s="7"/>
      <c r="AD265" s="7"/>
      <c r="AE265" s="7"/>
      <c r="AF265" s="7"/>
      <c r="AG265" s="11"/>
      <c r="AH265" s="5"/>
      <c r="AI265" s="5"/>
      <c r="AJ265" s="5"/>
      <c r="AK265" s="5"/>
      <c r="AL265" s="5"/>
      <c r="AM265" s="6"/>
    </row>
    <row r="266" spans="1:39" x14ac:dyDescent="0.35">
      <c r="A266" s="5"/>
      <c r="B266" s="6"/>
      <c r="C266" s="5"/>
      <c r="D266" s="5"/>
      <c r="E266" s="7"/>
      <c r="F266" s="7"/>
      <c r="G266" s="7"/>
      <c r="H266" s="8"/>
      <c r="I266" s="9"/>
      <c r="J266" s="8"/>
      <c r="K266" s="7"/>
      <c r="L266" s="7"/>
      <c r="M266" s="7"/>
      <c r="N266" s="7"/>
      <c r="O266" s="7"/>
      <c r="P266" s="7"/>
      <c r="Q266" s="7"/>
      <c r="R266" s="7"/>
      <c r="S266" s="7"/>
      <c r="T266" s="10"/>
      <c r="U266" s="7"/>
      <c r="V266" s="9"/>
      <c r="W266" s="9"/>
      <c r="X266" s="7"/>
      <c r="Y266" s="10"/>
      <c r="Z266" s="10"/>
      <c r="AA266" s="7"/>
      <c r="AB266" s="7"/>
      <c r="AC266" s="7"/>
      <c r="AD266" s="7"/>
      <c r="AE266" s="7"/>
      <c r="AF266" s="7"/>
      <c r="AG266" s="11"/>
      <c r="AH266" s="5"/>
      <c r="AI266" s="5"/>
      <c r="AJ266" s="5"/>
      <c r="AK266" s="5"/>
      <c r="AL266" s="5"/>
      <c r="AM266" s="6"/>
    </row>
    <row r="267" spans="1:39" x14ac:dyDescent="0.35">
      <c r="A267" s="5"/>
      <c r="B267" s="6"/>
      <c r="C267" s="5"/>
      <c r="D267" s="5"/>
      <c r="E267" s="7"/>
      <c r="F267" s="7"/>
      <c r="G267" s="7"/>
      <c r="H267" s="8"/>
      <c r="I267" s="9"/>
      <c r="J267" s="8"/>
      <c r="K267" s="7"/>
      <c r="L267" s="7"/>
      <c r="M267" s="7"/>
      <c r="N267" s="7"/>
      <c r="O267" s="7"/>
      <c r="P267" s="7"/>
      <c r="Q267" s="7"/>
      <c r="R267" s="7"/>
      <c r="S267" s="7"/>
      <c r="T267" s="10"/>
      <c r="U267" s="7"/>
      <c r="V267" s="9"/>
      <c r="W267" s="9"/>
      <c r="X267" s="7"/>
      <c r="Y267" s="10"/>
      <c r="Z267" s="10"/>
      <c r="AA267" s="7"/>
      <c r="AB267" s="7"/>
      <c r="AC267" s="7"/>
      <c r="AD267" s="7"/>
      <c r="AE267" s="7"/>
      <c r="AF267" s="7"/>
      <c r="AG267" s="11"/>
      <c r="AH267" s="5"/>
      <c r="AI267" s="5"/>
      <c r="AJ267" s="5"/>
      <c r="AK267" s="5"/>
      <c r="AL267" s="5"/>
      <c r="AM267" s="6"/>
    </row>
    <row r="268" spans="1:39" x14ac:dyDescent="0.35">
      <c r="A268" s="5"/>
      <c r="B268" s="6"/>
      <c r="C268" s="5"/>
      <c r="D268" s="5"/>
      <c r="E268" s="7"/>
      <c r="F268" s="7"/>
      <c r="G268" s="7"/>
      <c r="H268" s="8"/>
      <c r="I268" s="9"/>
      <c r="J268" s="8"/>
      <c r="K268" s="7"/>
      <c r="L268" s="7"/>
      <c r="M268" s="7"/>
      <c r="N268" s="7"/>
      <c r="O268" s="7"/>
      <c r="P268" s="7"/>
      <c r="Q268" s="7"/>
      <c r="R268" s="7"/>
      <c r="S268" s="7"/>
      <c r="T268" s="10"/>
      <c r="U268" s="7"/>
      <c r="V268" s="9"/>
      <c r="W268" s="9"/>
      <c r="X268" s="7"/>
      <c r="Y268" s="10"/>
      <c r="Z268" s="10"/>
      <c r="AA268" s="7"/>
      <c r="AB268" s="7"/>
      <c r="AC268" s="7"/>
      <c r="AD268" s="7"/>
      <c r="AE268" s="7"/>
      <c r="AF268" s="7"/>
      <c r="AG268" s="11"/>
      <c r="AH268" s="5"/>
      <c r="AI268" s="5"/>
      <c r="AJ268" s="5"/>
      <c r="AK268" s="5"/>
      <c r="AL268" s="5"/>
      <c r="AM268" s="6"/>
    </row>
    <row r="269" spans="1:39" x14ac:dyDescent="0.35">
      <c r="A269" s="5"/>
      <c r="B269" s="6"/>
      <c r="C269" s="5"/>
      <c r="D269" s="5"/>
      <c r="E269" s="7"/>
      <c r="F269" s="7"/>
      <c r="G269" s="7"/>
      <c r="H269" s="8"/>
      <c r="I269" s="9"/>
      <c r="J269" s="8"/>
      <c r="K269" s="7"/>
      <c r="L269" s="7"/>
      <c r="M269" s="7"/>
      <c r="N269" s="7"/>
      <c r="O269" s="7"/>
      <c r="P269" s="7"/>
      <c r="Q269" s="7"/>
      <c r="R269" s="7"/>
      <c r="S269" s="7"/>
      <c r="T269" s="10"/>
      <c r="U269" s="7"/>
      <c r="V269" s="9"/>
      <c r="W269" s="9"/>
      <c r="X269" s="7"/>
      <c r="Y269" s="10"/>
      <c r="Z269" s="10"/>
      <c r="AA269" s="7"/>
      <c r="AB269" s="7"/>
      <c r="AC269" s="7"/>
      <c r="AD269" s="7"/>
      <c r="AE269" s="7"/>
      <c r="AF269" s="7"/>
      <c r="AG269" s="11"/>
      <c r="AH269" s="5"/>
      <c r="AI269" s="5"/>
      <c r="AJ269" s="5"/>
      <c r="AK269" s="5"/>
      <c r="AL269" s="5"/>
      <c r="AM269" s="6"/>
    </row>
    <row r="270" spans="1:39" x14ac:dyDescent="0.35">
      <c r="A270" s="5"/>
      <c r="B270" s="6"/>
      <c r="C270" s="5"/>
      <c r="D270" s="5"/>
      <c r="E270" s="7"/>
      <c r="F270" s="7"/>
      <c r="G270" s="7"/>
      <c r="H270" s="8"/>
      <c r="I270" s="9"/>
      <c r="J270" s="8"/>
      <c r="K270" s="7"/>
      <c r="L270" s="7"/>
      <c r="M270" s="7"/>
      <c r="N270" s="7"/>
      <c r="O270" s="7"/>
      <c r="P270" s="7"/>
      <c r="Q270" s="7"/>
      <c r="R270" s="7"/>
      <c r="S270" s="7"/>
      <c r="T270" s="10"/>
      <c r="U270" s="7"/>
      <c r="V270" s="9"/>
      <c r="W270" s="9"/>
      <c r="X270" s="7"/>
      <c r="Y270" s="10"/>
      <c r="Z270" s="10"/>
      <c r="AA270" s="7"/>
      <c r="AB270" s="7"/>
      <c r="AC270" s="7"/>
      <c r="AD270" s="7"/>
      <c r="AE270" s="7"/>
      <c r="AF270" s="7"/>
      <c r="AG270" s="11"/>
      <c r="AH270" s="5"/>
      <c r="AI270" s="5"/>
      <c r="AJ270" s="5"/>
      <c r="AK270" s="5"/>
      <c r="AL270" s="5"/>
      <c r="AM270" s="6"/>
    </row>
    <row r="271" spans="1:39" x14ac:dyDescent="0.35">
      <c r="A271" s="5"/>
      <c r="B271" s="6"/>
      <c r="C271" s="5"/>
      <c r="D271" s="5"/>
      <c r="E271" s="7"/>
      <c r="F271" s="7"/>
      <c r="G271" s="7"/>
      <c r="H271" s="8"/>
      <c r="I271" s="9"/>
      <c r="J271" s="8"/>
      <c r="K271" s="7"/>
      <c r="L271" s="7"/>
      <c r="M271" s="7"/>
      <c r="N271" s="7"/>
      <c r="O271" s="7"/>
      <c r="P271" s="7"/>
      <c r="Q271" s="7"/>
      <c r="R271" s="7"/>
      <c r="S271" s="7"/>
      <c r="T271" s="10"/>
      <c r="U271" s="7"/>
      <c r="V271" s="9"/>
      <c r="W271" s="9"/>
      <c r="X271" s="7"/>
      <c r="Y271" s="10"/>
      <c r="Z271" s="10"/>
      <c r="AA271" s="7"/>
      <c r="AB271" s="7"/>
      <c r="AC271" s="7"/>
      <c r="AD271" s="7"/>
      <c r="AE271" s="7"/>
      <c r="AF271" s="7"/>
      <c r="AG271" s="11"/>
      <c r="AH271" s="5"/>
      <c r="AI271" s="5"/>
      <c r="AJ271" s="5"/>
      <c r="AK271" s="5"/>
      <c r="AL271" s="5"/>
      <c r="AM271" s="6"/>
    </row>
    <row r="272" spans="1:39" x14ac:dyDescent="0.35">
      <c r="A272" s="5"/>
      <c r="B272" s="6"/>
      <c r="C272" s="5"/>
      <c r="D272" s="5"/>
      <c r="E272" s="7"/>
      <c r="F272" s="7"/>
      <c r="G272" s="7"/>
      <c r="H272" s="8"/>
      <c r="I272" s="9"/>
      <c r="J272" s="8"/>
      <c r="K272" s="7"/>
      <c r="L272" s="7"/>
      <c r="M272" s="7"/>
      <c r="N272" s="7"/>
      <c r="O272" s="7"/>
      <c r="P272" s="7"/>
      <c r="Q272" s="7"/>
      <c r="R272" s="7"/>
      <c r="S272" s="7"/>
      <c r="T272" s="10"/>
      <c r="U272" s="7"/>
      <c r="V272" s="9"/>
      <c r="W272" s="9"/>
      <c r="X272" s="7"/>
      <c r="Y272" s="10"/>
      <c r="Z272" s="10"/>
      <c r="AA272" s="7"/>
      <c r="AB272" s="7"/>
      <c r="AC272" s="7"/>
      <c r="AD272" s="7"/>
      <c r="AE272" s="7"/>
      <c r="AF272" s="7"/>
      <c r="AG272" s="11"/>
      <c r="AH272" s="5"/>
      <c r="AI272" s="5"/>
      <c r="AJ272" s="5"/>
      <c r="AK272" s="5"/>
      <c r="AL272" s="5"/>
      <c r="AM272" s="6"/>
    </row>
    <row r="273" spans="1:39" x14ac:dyDescent="0.35">
      <c r="A273" s="5"/>
      <c r="B273" s="6"/>
      <c r="C273" s="5"/>
      <c r="D273" s="5"/>
      <c r="E273" s="7"/>
      <c r="F273" s="7"/>
      <c r="G273" s="7"/>
      <c r="H273" s="8"/>
      <c r="I273" s="9"/>
      <c r="J273" s="8"/>
      <c r="K273" s="7"/>
      <c r="L273" s="7"/>
      <c r="M273" s="7"/>
      <c r="N273" s="7"/>
      <c r="O273" s="7"/>
      <c r="P273" s="7"/>
      <c r="Q273" s="7"/>
      <c r="R273" s="7"/>
      <c r="S273" s="7"/>
      <c r="T273" s="10"/>
      <c r="U273" s="7"/>
      <c r="V273" s="9"/>
      <c r="W273" s="9"/>
      <c r="X273" s="7"/>
      <c r="Y273" s="10"/>
      <c r="Z273" s="10"/>
      <c r="AA273" s="7"/>
      <c r="AB273" s="7"/>
      <c r="AC273" s="7"/>
      <c r="AD273" s="7"/>
      <c r="AE273" s="7"/>
      <c r="AF273" s="7"/>
      <c r="AG273" s="11"/>
      <c r="AH273" s="5"/>
      <c r="AI273" s="5"/>
      <c r="AJ273" s="5"/>
      <c r="AK273" s="5"/>
      <c r="AL273" s="5"/>
      <c r="AM273" s="6"/>
    </row>
    <row r="274" spans="1:39" x14ac:dyDescent="0.35">
      <c r="A274" s="5"/>
      <c r="B274" s="6"/>
      <c r="C274" s="5"/>
      <c r="D274" s="5"/>
      <c r="E274" s="7"/>
      <c r="F274" s="7"/>
      <c r="G274" s="7"/>
      <c r="H274" s="8"/>
      <c r="I274" s="9"/>
      <c r="J274" s="8"/>
      <c r="K274" s="7"/>
      <c r="L274" s="7"/>
      <c r="M274" s="7"/>
      <c r="N274" s="7"/>
      <c r="O274" s="7"/>
      <c r="P274" s="7"/>
      <c r="Q274" s="7"/>
      <c r="R274" s="7"/>
      <c r="S274" s="7"/>
      <c r="T274" s="10"/>
      <c r="U274" s="7"/>
      <c r="V274" s="9"/>
      <c r="W274" s="9"/>
      <c r="X274" s="7"/>
      <c r="Y274" s="10"/>
      <c r="Z274" s="10"/>
      <c r="AA274" s="7"/>
      <c r="AB274" s="7"/>
      <c r="AC274" s="7"/>
      <c r="AD274" s="7"/>
      <c r="AE274" s="7"/>
      <c r="AF274" s="7"/>
      <c r="AG274" s="11"/>
      <c r="AH274" s="5"/>
      <c r="AI274" s="5"/>
      <c r="AJ274" s="5"/>
      <c r="AK274" s="5"/>
      <c r="AL274" s="5"/>
      <c r="AM274" s="6"/>
    </row>
    <row r="275" spans="1:39" x14ac:dyDescent="0.35">
      <c r="A275" s="5"/>
      <c r="B275" s="6"/>
      <c r="C275" s="5"/>
      <c r="D275" s="5"/>
      <c r="E275" s="7"/>
      <c r="F275" s="7"/>
      <c r="G275" s="7"/>
      <c r="H275" s="8"/>
      <c r="I275" s="9"/>
      <c r="J275" s="8"/>
      <c r="K275" s="7"/>
      <c r="L275" s="7"/>
      <c r="M275" s="7"/>
      <c r="N275" s="7"/>
      <c r="O275" s="7"/>
      <c r="P275" s="7"/>
      <c r="Q275" s="7"/>
      <c r="R275" s="7"/>
      <c r="S275" s="7"/>
      <c r="T275" s="10"/>
      <c r="U275" s="7"/>
      <c r="V275" s="9"/>
      <c r="W275" s="9"/>
      <c r="X275" s="7"/>
      <c r="Y275" s="10"/>
      <c r="Z275" s="10"/>
      <c r="AA275" s="7"/>
      <c r="AB275" s="7"/>
      <c r="AC275" s="7"/>
      <c r="AD275" s="7"/>
      <c r="AE275" s="7"/>
      <c r="AF275" s="7"/>
      <c r="AG275" s="11"/>
      <c r="AH275" s="5"/>
      <c r="AI275" s="5"/>
      <c r="AJ275" s="5"/>
      <c r="AK275" s="5"/>
      <c r="AL275" s="5"/>
      <c r="AM275" s="6"/>
    </row>
    <row r="276" spans="1:39" x14ac:dyDescent="0.35">
      <c r="A276" s="5"/>
      <c r="B276" s="6"/>
      <c r="C276" s="5"/>
      <c r="D276" s="5"/>
      <c r="E276" s="7"/>
      <c r="F276" s="7"/>
      <c r="G276" s="7"/>
      <c r="H276" s="8"/>
      <c r="I276" s="9"/>
      <c r="J276" s="8"/>
      <c r="K276" s="7"/>
      <c r="L276" s="7"/>
      <c r="M276" s="7"/>
      <c r="N276" s="7"/>
      <c r="O276" s="7"/>
      <c r="P276" s="7"/>
      <c r="Q276" s="7"/>
      <c r="R276" s="7"/>
      <c r="S276" s="7"/>
      <c r="T276" s="10"/>
      <c r="U276" s="7"/>
      <c r="V276" s="9"/>
      <c r="W276" s="9"/>
      <c r="X276" s="7"/>
      <c r="Y276" s="10"/>
      <c r="Z276" s="10"/>
      <c r="AA276" s="7"/>
      <c r="AB276" s="7"/>
      <c r="AC276" s="7"/>
      <c r="AD276" s="7"/>
      <c r="AE276" s="7"/>
      <c r="AF276" s="7"/>
      <c r="AG276" s="11"/>
      <c r="AH276" s="5"/>
      <c r="AI276" s="5"/>
      <c r="AJ276" s="5"/>
      <c r="AK276" s="5"/>
      <c r="AL276" s="5"/>
      <c r="AM276" s="6"/>
    </row>
    <row r="277" spans="1:39" x14ac:dyDescent="0.35">
      <c r="A277" s="5"/>
      <c r="B277" s="6"/>
      <c r="C277" s="5"/>
      <c r="D277" s="5"/>
      <c r="E277" s="7"/>
      <c r="F277" s="7"/>
      <c r="G277" s="7"/>
      <c r="H277" s="8"/>
      <c r="I277" s="9"/>
      <c r="J277" s="8"/>
      <c r="K277" s="7"/>
      <c r="L277" s="7"/>
      <c r="M277" s="7"/>
      <c r="N277" s="7"/>
      <c r="O277" s="7"/>
      <c r="P277" s="7"/>
      <c r="Q277" s="7"/>
      <c r="R277" s="7"/>
      <c r="S277" s="7"/>
      <c r="T277" s="10"/>
      <c r="U277" s="7"/>
      <c r="V277" s="9"/>
      <c r="W277" s="9"/>
      <c r="X277" s="7"/>
      <c r="Y277" s="10"/>
      <c r="Z277" s="10"/>
      <c r="AA277" s="7"/>
      <c r="AB277" s="7"/>
      <c r="AC277" s="7"/>
      <c r="AD277" s="7"/>
      <c r="AE277" s="7"/>
      <c r="AF277" s="7"/>
      <c r="AG277" s="11"/>
      <c r="AH277" s="5"/>
      <c r="AI277" s="5"/>
      <c r="AJ277" s="5"/>
      <c r="AK277" s="5"/>
      <c r="AL277" s="5"/>
      <c r="AM277" s="6"/>
    </row>
    <row r="278" spans="1:39" x14ac:dyDescent="0.35">
      <c r="A278" s="5"/>
      <c r="B278" s="6"/>
      <c r="C278" s="5"/>
      <c r="D278" s="5"/>
      <c r="E278" s="7"/>
      <c r="F278" s="7"/>
      <c r="G278" s="7"/>
      <c r="H278" s="8"/>
      <c r="I278" s="9"/>
      <c r="J278" s="8"/>
      <c r="K278" s="7"/>
      <c r="L278" s="7"/>
      <c r="M278" s="7"/>
      <c r="N278" s="7"/>
      <c r="O278" s="7"/>
      <c r="P278" s="7"/>
      <c r="Q278" s="7"/>
      <c r="R278" s="7"/>
      <c r="S278" s="7"/>
      <c r="T278" s="10"/>
      <c r="U278" s="7"/>
      <c r="V278" s="9"/>
      <c r="W278" s="9"/>
      <c r="X278" s="7"/>
      <c r="Y278" s="10"/>
      <c r="Z278" s="10"/>
      <c r="AA278" s="7"/>
      <c r="AB278" s="7"/>
      <c r="AC278" s="7"/>
      <c r="AD278" s="7"/>
      <c r="AE278" s="7"/>
      <c r="AF278" s="7"/>
      <c r="AG278" s="11"/>
      <c r="AH278" s="5"/>
      <c r="AI278" s="5"/>
      <c r="AJ278" s="5"/>
      <c r="AK278" s="5"/>
      <c r="AL278" s="5"/>
      <c r="AM278" s="6"/>
    </row>
    <row r="279" spans="1:39" x14ac:dyDescent="0.35">
      <c r="A279" s="5"/>
      <c r="B279" s="6"/>
      <c r="C279" s="5"/>
      <c r="D279" s="5"/>
      <c r="E279" s="7"/>
      <c r="F279" s="7"/>
      <c r="G279" s="7"/>
      <c r="H279" s="8"/>
      <c r="I279" s="9"/>
      <c r="J279" s="8"/>
      <c r="K279" s="7"/>
      <c r="L279" s="7"/>
      <c r="M279" s="7"/>
      <c r="N279" s="7"/>
      <c r="O279" s="7"/>
      <c r="P279" s="7"/>
      <c r="Q279" s="7"/>
      <c r="R279" s="7"/>
      <c r="S279" s="7"/>
      <c r="T279" s="10"/>
      <c r="U279" s="7"/>
      <c r="V279" s="9"/>
      <c r="W279" s="9"/>
      <c r="X279" s="7"/>
      <c r="Y279" s="10"/>
      <c r="Z279" s="10"/>
      <c r="AA279" s="7"/>
      <c r="AB279" s="7"/>
      <c r="AC279" s="7"/>
      <c r="AD279" s="7"/>
      <c r="AE279" s="7"/>
      <c r="AF279" s="7"/>
      <c r="AG279" s="11"/>
      <c r="AH279" s="5"/>
      <c r="AI279" s="5"/>
      <c r="AJ279" s="5"/>
      <c r="AK279" s="5"/>
      <c r="AL279" s="5"/>
      <c r="AM279" s="6"/>
    </row>
    <row r="280" spans="1:39" x14ac:dyDescent="0.35">
      <c r="E280" s="7"/>
      <c r="F280" s="7"/>
      <c r="G280" s="7"/>
      <c r="H280" s="8"/>
      <c r="I280" s="9"/>
      <c r="J280" s="8"/>
      <c r="K280" s="7"/>
      <c r="L280" s="7"/>
      <c r="M280" s="7"/>
      <c r="N280" s="7"/>
      <c r="O280" s="7"/>
      <c r="P280" s="7"/>
      <c r="Q280" s="7"/>
      <c r="R280" s="7"/>
      <c r="S280" s="7"/>
      <c r="T280" s="10"/>
      <c r="U280" s="7"/>
      <c r="V280" s="9"/>
      <c r="W280" s="9"/>
      <c r="X280" s="7"/>
      <c r="Y280" s="10"/>
      <c r="Z280" s="10"/>
      <c r="AA280" s="7"/>
      <c r="AB280" s="7"/>
      <c r="AC280" s="7"/>
      <c r="AD280" s="7"/>
      <c r="AE280" s="7"/>
      <c r="AF280" s="7"/>
      <c r="AG280" s="11"/>
      <c r="AH280" s="5"/>
      <c r="AI280" s="5"/>
      <c r="AJ280" s="5"/>
      <c r="AK280" s="5"/>
      <c r="AL280" s="5"/>
      <c r="AM280" s="6"/>
    </row>
    <row r="281" spans="1:39" x14ac:dyDescent="0.35">
      <c r="AG281" s="5"/>
      <c r="AH281" s="5"/>
      <c r="AI281" s="5"/>
      <c r="AJ281" s="5"/>
      <c r="AK281" s="5"/>
      <c r="AL281" s="5"/>
      <c r="AM281" s="6"/>
    </row>
    <row r="282" spans="1:39" x14ac:dyDescent="0.35">
      <c r="AG282" s="5"/>
      <c r="AH282" s="5"/>
      <c r="AI282" s="5"/>
      <c r="AJ282" s="5"/>
      <c r="AK282" s="5"/>
      <c r="AL282" s="5"/>
      <c r="AM282" s="6"/>
    </row>
    <row r="283" spans="1:39" x14ac:dyDescent="0.35">
      <c r="AG283" s="5"/>
      <c r="AH283" s="5"/>
      <c r="AI283" s="5"/>
      <c r="AJ283" s="5"/>
      <c r="AK283" s="5"/>
      <c r="AL283" s="5"/>
      <c r="AM283" s="6"/>
    </row>
    <row r="284" spans="1:39" x14ac:dyDescent="0.35">
      <c r="AG284" s="5"/>
      <c r="AH284" s="5"/>
      <c r="AI284" s="5"/>
      <c r="AJ284" s="5"/>
      <c r="AK284" s="5"/>
      <c r="AL284" s="5"/>
      <c r="AM284" s="6"/>
    </row>
    <row r="285" spans="1:39" x14ac:dyDescent="0.35">
      <c r="AG285" s="5"/>
      <c r="AH285" s="5"/>
      <c r="AI285" s="5"/>
      <c r="AJ285" s="5"/>
      <c r="AK285" s="5"/>
      <c r="AL285" s="5"/>
      <c r="AM285" s="6"/>
    </row>
    <row r="286" spans="1:39" x14ac:dyDescent="0.35">
      <c r="AG286" s="5"/>
      <c r="AH286" s="5"/>
      <c r="AI286" s="5"/>
      <c r="AJ286" s="5"/>
      <c r="AK286" s="5"/>
      <c r="AL286" s="5"/>
      <c r="AM286" s="6"/>
    </row>
    <row r="287" spans="1:39" x14ac:dyDescent="0.35">
      <c r="AG287" s="5"/>
      <c r="AH287" s="5"/>
      <c r="AI287" s="5"/>
      <c r="AJ287" s="5"/>
      <c r="AK287" s="5"/>
      <c r="AL287" s="5"/>
      <c r="AM287" s="6"/>
    </row>
    <row r="288" spans="1:39" x14ac:dyDescent="0.35">
      <c r="AG288" s="5"/>
      <c r="AH288" s="5"/>
      <c r="AI288" s="5"/>
      <c r="AJ288" s="5"/>
      <c r="AK288" s="5"/>
      <c r="AL288" s="5"/>
      <c r="AM288" s="6"/>
    </row>
    <row r="289" spans="33:39" x14ac:dyDescent="0.35">
      <c r="AG289" s="5"/>
      <c r="AH289" s="5"/>
      <c r="AI289" s="5"/>
      <c r="AJ289" s="5"/>
      <c r="AK289" s="5"/>
      <c r="AL289" s="5"/>
      <c r="AM289" s="6"/>
    </row>
    <row r="290" spans="33:39" x14ac:dyDescent="0.35">
      <c r="AG290" s="5"/>
      <c r="AH290" s="5"/>
      <c r="AI290" s="5"/>
      <c r="AJ290" s="5"/>
      <c r="AK290" s="5"/>
      <c r="AL290" s="5"/>
      <c r="AM290" s="6"/>
    </row>
    <row r="291" spans="33:39" x14ac:dyDescent="0.35">
      <c r="AG291" s="5"/>
      <c r="AH291" s="5"/>
      <c r="AI291" s="5"/>
      <c r="AJ291" s="5"/>
      <c r="AK291" s="5"/>
      <c r="AL291" s="5"/>
      <c r="AM291" s="6"/>
    </row>
    <row r="292" spans="33:39" x14ac:dyDescent="0.35">
      <c r="AG292" s="5"/>
      <c r="AH292" s="5"/>
      <c r="AI292" s="5"/>
      <c r="AJ292" s="5"/>
      <c r="AK292" s="5"/>
      <c r="AL292" s="5"/>
      <c r="AM292" s="6"/>
    </row>
    <row r="293" spans="33:39" x14ac:dyDescent="0.35">
      <c r="AG293" s="5"/>
      <c r="AH293" s="5"/>
      <c r="AI293" s="5"/>
      <c r="AJ293" s="5"/>
      <c r="AK293" s="5"/>
      <c r="AL293" s="5"/>
      <c r="AM293" s="6"/>
    </row>
    <row r="294" spans="33:39" x14ac:dyDescent="0.35">
      <c r="AG294" s="5"/>
      <c r="AH294" s="5"/>
      <c r="AI294" s="5"/>
      <c r="AJ294" s="5"/>
      <c r="AK294" s="5"/>
      <c r="AL294" s="5"/>
      <c r="AM294" s="6"/>
    </row>
    <row r="295" spans="33:39" x14ac:dyDescent="0.35">
      <c r="AG295" s="5"/>
      <c r="AH295" s="5"/>
      <c r="AI295" s="5"/>
      <c r="AJ295" s="5"/>
      <c r="AK295" s="5"/>
      <c r="AL295" s="5"/>
      <c r="AM295" s="6"/>
    </row>
    <row r="296" spans="33:39" x14ac:dyDescent="0.35">
      <c r="AG296" s="5"/>
      <c r="AH296" s="5"/>
      <c r="AI296" s="5"/>
      <c r="AJ296" s="5"/>
      <c r="AK296" s="5"/>
      <c r="AL296" s="5"/>
      <c r="AM296" s="6"/>
    </row>
    <row r="297" spans="33:39" x14ac:dyDescent="0.35">
      <c r="AG297" s="5"/>
      <c r="AH297" s="5"/>
      <c r="AI297" s="5"/>
      <c r="AJ297" s="5"/>
      <c r="AK297" s="5"/>
      <c r="AL297" s="5"/>
      <c r="AM297" s="6"/>
    </row>
    <row r="298" spans="33:39" x14ac:dyDescent="0.35">
      <c r="AG298" s="5"/>
      <c r="AH298" s="5"/>
      <c r="AI298" s="5"/>
      <c r="AJ298" s="5"/>
      <c r="AK298" s="5"/>
      <c r="AL298" s="5"/>
      <c r="AM298" s="6"/>
    </row>
    <row r="299" spans="33:39" x14ac:dyDescent="0.35">
      <c r="AG299" s="5"/>
      <c r="AH299" s="5"/>
      <c r="AI299" s="5"/>
      <c r="AJ299" s="5"/>
      <c r="AK299" s="5"/>
      <c r="AL299" s="5"/>
      <c r="AM299" s="6"/>
    </row>
    <row r="300" spans="33:39" x14ac:dyDescent="0.35">
      <c r="AG300" s="5"/>
      <c r="AH300" s="5"/>
      <c r="AI300" s="5"/>
      <c r="AJ300" s="5"/>
      <c r="AK300" s="5"/>
      <c r="AL300" s="5"/>
      <c r="AM300" s="6"/>
    </row>
    <row r="301" spans="33:39" x14ac:dyDescent="0.35">
      <c r="AG301" s="5"/>
      <c r="AH301" s="5"/>
      <c r="AI301" s="5"/>
      <c r="AJ301" s="5"/>
      <c r="AK301" s="5"/>
      <c r="AL301" s="5"/>
      <c r="AM301" s="6"/>
    </row>
    <row r="302" spans="33:39" x14ac:dyDescent="0.35">
      <c r="AG302" s="5"/>
      <c r="AH302" s="5"/>
      <c r="AI302" s="5"/>
      <c r="AJ302" s="5"/>
      <c r="AK302" s="5"/>
      <c r="AL302" s="5"/>
      <c r="AM302" s="6"/>
    </row>
    <row r="303" spans="33:39" x14ac:dyDescent="0.35">
      <c r="AG303" s="5"/>
      <c r="AH303" s="5"/>
      <c r="AI303" s="5"/>
      <c r="AJ303" s="5"/>
      <c r="AK303" s="5"/>
      <c r="AL303" s="5"/>
      <c r="AM303" s="6"/>
    </row>
    <row r="304" spans="33:39" x14ac:dyDescent="0.35">
      <c r="AG304" s="5"/>
      <c r="AH304" s="5"/>
      <c r="AI304" s="5"/>
      <c r="AJ304" s="5"/>
      <c r="AK304" s="5"/>
      <c r="AL304" s="5"/>
      <c r="AM304" s="6"/>
    </row>
    <row r="305" spans="33:39" x14ac:dyDescent="0.35">
      <c r="AG305" s="5"/>
      <c r="AH305" s="5"/>
      <c r="AI305" s="5"/>
      <c r="AJ305" s="5"/>
      <c r="AK305" s="5"/>
      <c r="AL305" s="5"/>
      <c r="AM305" s="6"/>
    </row>
    <row r="306" spans="33:39" x14ac:dyDescent="0.35">
      <c r="AG306" s="5"/>
      <c r="AH306" s="5"/>
      <c r="AI306" s="5"/>
      <c r="AJ306" s="5"/>
      <c r="AK306" s="5"/>
      <c r="AL306" s="5"/>
      <c r="AM306" s="6"/>
    </row>
    <row r="307" spans="33:39" x14ac:dyDescent="0.35">
      <c r="AG307" s="5"/>
      <c r="AH307" s="5"/>
      <c r="AI307" s="5"/>
      <c r="AJ307" s="5"/>
      <c r="AK307" s="5"/>
      <c r="AL307" s="5"/>
      <c r="AM307" s="6"/>
    </row>
    <row r="308" spans="33:39" x14ac:dyDescent="0.35">
      <c r="AG308" s="5"/>
      <c r="AH308" s="5"/>
      <c r="AI308" s="5"/>
      <c r="AJ308" s="5"/>
      <c r="AK308" s="5"/>
      <c r="AL308" s="5"/>
      <c r="AM308" s="6"/>
    </row>
    <row r="309" spans="33:39" x14ac:dyDescent="0.35">
      <c r="AG309" s="5"/>
      <c r="AH309" s="5"/>
      <c r="AI309" s="5"/>
      <c r="AJ309" s="5"/>
      <c r="AK309" s="5"/>
      <c r="AL309" s="5"/>
      <c r="AM309" s="6"/>
    </row>
    <row r="310" spans="33:39" x14ac:dyDescent="0.35">
      <c r="AG310" s="5"/>
      <c r="AH310" s="5"/>
      <c r="AI310" s="5"/>
      <c r="AJ310" s="5"/>
      <c r="AK310" s="5"/>
      <c r="AL310" s="5"/>
      <c r="AM310" s="6"/>
    </row>
    <row r="311" spans="33:39" x14ac:dyDescent="0.35">
      <c r="AG311" s="5"/>
      <c r="AH311" s="5"/>
      <c r="AI311" s="5"/>
      <c r="AJ311" s="5"/>
      <c r="AK311" s="5"/>
      <c r="AL311" s="5"/>
      <c r="AM311" s="6"/>
    </row>
    <row r="312" spans="33:39" x14ac:dyDescent="0.35">
      <c r="AG312" s="5"/>
      <c r="AH312" s="5"/>
      <c r="AI312" s="5"/>
      <c r="AJ312" s="5"/>
      <c r="AK312" s="5"/>
      <c r="AL312" s="5"/>
      <c r="AM312" s="6"/>
    </row>
    <row r="313" spans="33:39" x14ac:dyDescent="0.35">
      <c r="AG313" s="5"/>
      <c r="AH313" s="5"/>
      <c r="AI313" s="5"/>
      <c r="AJ313" s="5"/>
      <c r="AK313" s="5"/>
      <c r="AL313" s="5"/>
      <c r="AM313" s="6"/>
    </row>
    <row r="314" spans="33:39" x14ac:dyDescent="0.35">
      <c r="AG314" s="5"/>
      <c r="AH314" s="5"/>
      <c r="AI314" s="5"/>
      <c r="AJ314" s="5"/>
      <c r="AK314" s="5"/>
      <c r="AL314" s="5"/>
      <c r="AM314" s="6"/>
    </row>
    <row r="315" spans="33:39" x14ac:dyDescent="0.35">
      <c r="AG315" s="5"/>
      <c r="AH315" s="5"/>
      <c r="AI315" s="5"/>
      <c r="AJ315" s="5"/>
      <c r="AK315" s="5"/>
      <c r="AL315" s="5"/>
      <c r="AM315" s="6"/>
    </row>
    <row r="316" spans="33:39" x14ac:dyDescent="0.35">
      <c r="AG316" s="5"/>
      <c r="AH316" s="5"/>
      <c r="AI316" s="5"/>
      <c r="AJ316" s="5"/>
      <c r="AK316" s="5"/>
      <c r="AL316" s="5"/>
      <c r="AM316" s="6"/>
    </row>
    <row r="317" spans="33:39" x14ac:dyDescent="0.35">
      <c r="AG317" s="5"/>
      <c r="AH317" s="5"/>
      <c r="AI317" s="5"/>
      <c r="AJ317" s="5"/>
      <c r="AK317" s="5"/>
      <c r="AL317" s="5"/>
      <c r="AM317" s="6"/>
    </row>
    <row r="318" spans="33:39" x14ac:dyDescent="0.35">
      <c r="AG318" s="5"/>
      <c r="AH318" s="5"/>
      <c r="AI318" s="5"/>
      <c r="AJ318" s="5"/>
      <c r="AK318" s="5"/>
      <c r="AL318" s="5"/>
      <c r="AM318" s="6"/>
    </row>
    <row r="319" spans="33:39" x14ac:dyDescent="0.35">
      <c r="AG319" s="5"/>
      <c r="AH319" s="5"/>
      <c r="AI319" s="5"/>
      <c r="AJ319" s="5"/>
      <c r="AK319" s="5"/>
      <c r="AL319" s="5"/>
      <c r="AM319" s="6"/>
    </row>
    <row r="320" spans="33:39" x14ac:dyDescent="0.35">
      <c r="AG320" s="5"/>
      <c r="AH320" s="5"/>
      <c r="AI320" s="5"/>
      <c r="AJ320" s="5"/>
      <c r="AK320" s="5"/>
      <c r="AL320" s="5"/>
      <c r="AM320" s="6"/>
    </row>
    <row r="321" spans="33:39" x14ac:dyDescent="0.35">
      <c r="AG321" s="5"/>
      <c r="AH321" s="5"/>
      <c r="AI321" s="5"/>
      <c r="AJ321" s="5"/>
      <c r="AK321" s="5"/>
      <c r="AL321" s="5"/>
      <c r="AM321" s="6"/>
    </row>
    <row r="322" spans="33:39" x14ac:dyDescent="0.35">
      <c r="AG322" s="5"/>
      <c r="AH322" s="5"/>
      <c r="AI322" s="5"/>
      <c r="AJ322" s="5"/>
      <c r="AK322" s="5"/>
      <c r="AL322" s="5"/>
      <c r="AM322" s="6"/>
    </row>
    <row r="323" spans="33:39" x14ac:dyDescent="0.35">
      <c r="AG323" s="5"/>
      <c r="AH323" s="5"/>
      <c r="AI323" s="5"/>
      <c r="AJ323" s="5"/>
      <c r="AK323" s="5"/>
      <c r="AL323" s="5"/>
      <c r="AM323" s="6"/>
    </row>
    <row r="324" spans="33:39" x14ac:dyDescent="0.35">
      <c r="AG324" s="5"/>
      <c r="AH324" s="5"/>
      <c r="AI324" s="5"/>
      <c r="AJ324" s="5"/>
      <c r="AK324" s="5"/>
      <c r="AL324" s="5"/>
      <c r="AM324" s="6"/>
    </row>
    <row r="325" spans="33:39" x14ac:dyDescent="0.35">
      <c r="AG325" s="5"/>
      <c r="AH325" s="5"/>
      <c r="AI325" s="5"/>
      <c r="AJ325" s="5"/>
      <c r="AK325" s="5"/>
      <c r="AL325" s="5"/>
      <c r="AM325" s="6"/>
    </row>
    <row r="326" spans="33:39" x14ac:dyDescent="0.35">
      <c r="AG326" s="5"/>
      <c r="AH326" s="5"/>
      <c r="AI326" s="5"/>
      <c r="AJ326" s="5"/>
      <c r="AK326" s="5"/>
      <c r="AL326" s="5"/>
      <c r="AM326" s="6"/>
    </row>
    <row r="327" spans="33:39" x14ac:dyDescent="0.35">
      <c r="AG327" s="5"/>
      <c r="AH327" s="5"/>
      <c r="AI327" s="5"/>
      <c r="AJ327" s="5"/>
      <c r="AK327" s="5"/>
      <c r="AL327" s="5"/>
      <c r="AM327" s="6"/>
    </row>
    <row r="328" spans="33:39" x14ac:dyDescent="0.35">
      <c r="AG328" s="5"/>
      <c r="AH328" s="5"/>
      <c r="AI328" s="5"/>
      <c r="AJ328" s="5"/>
      <c r="AK328" s="5"/>
      <c r="AL328" s="5"/>
      <c r="AM328" s="6"/>
    </row>
    <row r="329" spans="33:39" x14ac:dyDescent="0.35">
      <c r="AG329" s="5"/>
      <c r="AH329" s="5"/>
      <c r="AI329" s="5"/>
      <c r="AJ329" s="5"/>
      <c r="AK329" s="5"/>
      <c r="AL329" s="5"/>
      <c r="AM329" s="6"/>
    </row>
    <row r="330" spans="33:39" x14ac:dyDescent="0.35">
      <c r="AG330" s="5"/>
      <c r="AH330" s="5"/>
      <c r="AI330" s="5"/>
      <c r="AJ330" s="5"/>
      <c r="AK330" s="5"/>
      <c r="AL330" s="5"/>
      <c r="AM330" s="6"/>
    </row>
    <row r="331" spans="33:39" x14ac:dyDescent="0.35">
      <c r="AG331" s="5"/>
      <c r="AH331" s="5"/>
      <c r="AI331" s="5"/>
      <c r="AJ331" s="5"/>
      <c r="AK331" s="5"/>
      <c r="AL331" s="5"/>
      <c r="AM331" s="6"/>
    </row>
    <row r="332" spans="33:39" x14ac:dyDescent="0.35">
      <c r="AG332" s="5"/>
      <c r="AH332" s="5"/>
      <c r="AI332" s="5"/>
      <c r="AJ332" s="5"/>
      <c r="AK332" s="5"/>
      <c r="AL332" s="5"/>
      <c r="AM332" s="6"/>
    </row>
    <row r="333" spans="33:39" x14ac:dyDescent="0.35">
      <c r="AG333" s="5"/>
      <c r="AH333" s="5"/>
      <c r="AI333" s="5"/>
      <c r="AJ333" s="5"/>
      <c r="AK333" s="5"/>
      <c r="AL333" s="5"/>
      <c r="AM333" s="6"/>
    </row>
    <row r="334" spans="33:39" x14ac:dyDescent="0.35">
      <c r="AG334" s="5"/>
      <c r="AH334" s="5"/>
      <c r="AI334" s="5"/>
      <c r="AJ334" s="5"/>
      <c r="AK334" s="5"/>
      <c r="AL334" s="5"/>
      <c r="AM334" s="6"/>
    </row>
    <row r="335" spans="33:39" x14ac:dyDescent="0.35">
      <c r="AG335" s="5"/>
      <c r="AH335" s="5"/>
      <c r="AI335" s="5"/>
      <c r="AJ335" s="5"/>
      <c r="AK335" s="5"/>
      <c r="AL335" s="5"/>
      <c r="AM335" s="6"/>
    </row>
    <row r="336" spans="33:39" x14ac:dyDescent="0.35">
      <c r="AG336" s="5"/>
      <c r="AH336" s="5"/>
      <c r="AI336" s="5"/>
      <c r="AJ336" s="5"/>
      <c r="AK336" s="5"/>
      <c r="AL336" s="5"/>
      <c r="AM336" s="6"/>
    </row>
    <row r="337" spans="33:39" x14ac:dyDescent="0.35">
      <c r="AG337" s="5"/>
      <c r="AH337" s="5"/>
      <c r="AI337" s="5"/>
      <c r="AJ337" s="5"/>
      <c r="AK337" s="5"/>
      <c r="AL337" s="5"/>
      <c r="AM337" s="6"/>
    </row>
    <row r="338" spans="33:39" x14ac:dyDescent="0.35">
      <c r="AG338" s="5"/>
      <c r="AH338" s="5"/>
      <c r="AI338" s="5"/>
      <c r="AJ338" s="5"/>
      <c r="AK338" s="5"/>
      <c r="AL338" s="5"/>
      <c r="AM338" s="6"/>
    </row>
    <row r="339" spans="33:39" x14ac:dyDescent="0.35">
      <c r="AG339" s="5"/>
      <c r="AH339" s="5"/>
      <c r="AI339" s="5"/>
      <c r="AJ339" s="5"/>
      <c r="AK339" s="5"/>
      <c r="AL339" s="5"/>
      <c r="AM339" s="6"/>
    </row>
    <row r="340" spans="33:39" x14ac:dyDescent="0.35">
      <c r="AG340" s="5"/>
      <c r="AH340" s="5"/>
      <c r="AI340" s="5"/>
      <c r="AJ340" s="5"/>
      <c r="AK340" s="5"/>
      <c r="AL340" s="5"/>
      <c r="AM340" s="6"/>
    </row>
    <row r="341" spans="33:39" x14ac:dyDescent="0.35">
      <c r="AG341" s="5"/>
      <c r="AH341" s="5"/>
      <c r="AI341" s="5"/>
      <c r="AJ341" s="5"/>
      <c r="AK341" s="5"/>
      <c r="AL341" s="5"/>
      <c r="AM341" s="6"/>
    </row>
    <row r="342" spans="33:39" x14ac:dyDescent="0.35">
      <c r="AG342" s="5"/>
      <c r="AH342" s="5"/>
      <c r="AI342" s="5"/>
      <c r="AJ342" s="5"/>
      <c r="AK342" s="5"/>
      <c r="AL342" s="5"/>
      <c r="AM342" s="6"/>
    </row>
    <row r="343" spans="33:39" x14ac:dyDescent="0.35">
      <c r="AG343" s="5"/>
      <c r="AH343" s="5"/>
      <c r="AI343" s="5"/>
      <c r="AJ343" s="5"/>
      <c r="AK343" s="5"/>
      <c r="AL343" s="5"/>
      <c r="AM343" s="6"/>
    </row>
    <row r="344" spans="33:39" x14ac:dyDescent="0.35">
      <c r="AG344" s="5"/>
      <c r="AH344" s="5"/>
      <c r="AI344" s="5"/>
      <c r="AJ344" s="5"/>
      <c r="AK344" s="5"/>
      <c r="AL344" s="5"/>
      <c r="AM344" s="6"/>
    </row>
    <row r="345" spans="33:39" x14ac:dyDescent="0.35">
      <c r="AG345" s="5"/>
      <c r="AH345" s="5"/>
      <c r="AI345" s="5"/>
      <c r="AJ345" s="5"/>
      <c r="AK345" s="5"/>
      <c r="AL345" s="5"/>
      <c r="AM345" s="6"/>
    </row>
    <row r="346" spans="33:39" x14ac:dyDescent="0.35">
      <c r="AG346" s="5"/>
      <c r="AH346" s="5"/>
      <c r="AI346" s="5"/>
      <c r="AJ346" s="5"/>
      <c r="AK346" s="5"/>
      <c r="AL346" s="5"/>
      <c r="AM346" s="6"/>
    </row>
    <row r="347" spans="33:39" x14ac:dyDescent="0.35">
      <c r="AG347" s="5"/>
      <c r="AH347" s="5"/>
      <c r="AI347" s="5"/>
      <c r="AJ347" s="5"/>
      <c r="AK347" s="5"/>
      <c r="AL347" s="5"/>
      <c r="AM347" s="6"/>
    </row>
    <row r="348" spans="33:39" x14ac:dyDescent="0.35">
      <c r="AG348" s="5"/>
      <c r="AH348" s="5"/>
      <c r="AI348" s="5"/>
      <c r="AJ348" s="5"/>
      <c r="AK348" s="5"/>
      <c r="AL348" s="5"/>
      <c r="AM348" s="6"/>
    </row>
    <row r="349" spans="33:39" x14ac:dyDescent="0.35">
      <c r="AG349" s="5"/>
      <c r="AH349" s="5"/>
      <c r="AI349" s="5"/>
      <c r="AJ349" s="5"/>
      <c r="AK349" s="5"/>
      <c r="AL349" s="5"/>
      <c r="AM349" s="6"/>
    </row>
    <row r="350" spans="33:39" x14ac:dyDescent="0.35">
      <c r="AG350" s="5"/>
      <c r="AH350" s="5"/>
      <c r="AI350" s="5"/>
      <c r="AJ350" s="5"/>
      <c r="AK350" s="5"/>
      <c r="AL350" s="5"/>
      <c r="AM350" s="6"/>
    </row>
    <row r="351" spans="33:39" x14ac:dyDescent="0.35">
      <c r="AG351" s="5"/>
      <c r="AH351" s="5"/>
      <c r="AI351" s="5"/>
      <c r="AJ351" s="5"/>
      <c r="AK351" s="5"/>
      <c r="AL351" s="5"/>
      <c r="AM351" s="6"/>
    </row>
    <row r="352" spans="33:39" x14ac:dyDescent="0.35">
      <c r="AG352" s="5"/>
      <c r="AH352" s="5"/>
      <c r="AI352" s="5"/>
      <c r="AJ352" s="5"/>
      <c r="AK352" s="5"/>
      <c r="AL352" s="5"/>
      <c r="AM352" s="6"/>
    </row>
    <row r="353" spans="33:39" x14ac:dyDescent="0.35">
      <c r="AG353" s="5"/>
      <c r="AH353" s="5"/>
      <c r="AI353" s="5"/>
      <c r="AJ353" s="5"/>
      <c r="AK353" s="5"/>
      <c r="AL353" s="5"/>
      <c r="AM353" s="6"/>
    </row>
    <row r="354" spans="33:39" x14ac:dyDescent="0.35">
      <c r="AG354" s="5"/>
      <c r="AH354" s="5"/>
      <c r="AI354" s="5"/>
      <c r="AJ354" s="5"/>
      <c r="AK354" s="5"/>
      <c r="AL354" s="5"/>
      <c r="AM354" s="6"/>
    </row>
    <row r="355" spans="33:39" x14ac:dyDescent="0.35">
      <c r="AG355" s="5"/>
      <c r="AH355" s="5"/>
      <c r="AI355" s="5"/>
      <c r="AJ355" s="5"/>
      <c r="AK355" s="5"/>
      <c r="AL355" s="5"/>
      <c r="AM355" s="6"/>
    </row>
    <row r="356" spans="33:39" x14ac:dyDescent="0.35">
      <c r="AG356" s="5"/>
      <c r="AH356" s="5"/>
      <c r="AI356" s="5"/>
      <c r="AJ356" s="5"/>
      <c r="AK356" s="5"/>
      <c r="AL356" s="5"/>
      <c r="AM356" s="6"/>
    </row>
    <row r="357" spans="33:39" x14ac:dyDescent="0.35">
      <c r="AG357" s="5"/>
      <c r="AH357" s="5"/>
      <c r="AI357" s="5"/>
      <c r="AJ357" s="5"/>
      <c r="AK357" s="5"/>
      <c r="AL357" s="5"/>
      <c r="AM357" s="6"/>
    </row>
    <row r="358" spans="33:39" x14ac:dyDescent="0.35">
      <c r="AG358" s="5"/>
      <c r="AH358" s="5"/>
      <c r="AI358" s="5"/>
      <c r="AJ358" s="5"/>
      <c r="AK358" s="5"/>
      <c r="AL358" s="5"/>
      <c r="AM358" s="6"/>
    </row>
    <row r="359" spans="33:39" x14ac:dyDescent="0.35">
      <c r="AG359" s="5"/>
      <c r="AH359" s="5"/>
      <c r="AI359" s="5"/>
      <c r="AJ359" s="5"/>
      <c r="AK359" s="5"/>
      <c r="AL359" s="5"/>
      <c r="AM359" s="6"/>
    </row>
    <row r="360" spans="33:39" x14ac:dyDescent="0.35">
      <c r="AG360" s="5"/>
      <c r="AH360" s="5"/>
      <c r="AI360" s="5"/>
      <c r="AJ360" s="5"/>
      <c r="AK360" s="5"/>
      <c r="AL360" s="5"/>
      <c r="AM360" s="6"/>
    </row>
    <row r="361" spans="33:39" x14ac:dyDescent="0.35">
      <c r="AG361" s="5"/>
      <c r="AH361" s="5"/>
      <c r="AI361" s="5"/>
      <c r="AJ361" s="5"/>
      <c r="AK361" s="5"/>
      <c r="AL361" s="5"/>
      <c r="AM361" s="6"/>
    </row>
    <row r="362" spans="33:39" x14ac:dyDescent="0.35">
      <c r="AG362" s="5"/>
      <c r="AH362" s="5"/>
      <c r="AI362" s="5"/>
      <c r="AJ362" s="5"/>
      <c r="AK362" s="5"/>
      <c r="AL362" s="5"/>
      <c r="AM362" s="6"/>
    </row>
    <row r="363" spans="33:39" x14ac:dyDescent="0.35">
      <c r="AG363" s="5"/>
      <c r="AH363" s="5"/>
      <c r="AI363" s="5"/>
      <c r="AJ363" s="5"/>
      <c r="AK363" s="5"/>
      <c r="AL363" s="5"/>
      <c r="AM363" s="6"/>
    </row>
    <row r="364" spans="33:39" x14ac:dyDescent="0.35">
      <c r="AG364" s="5"/>
      <c r="AH364" s="5"/>
      <c r="AI364" s="5"/>
      <c r="AJ364" s="5"/>
      <c r="AK364" s="5"/>
      <c r="AL364" s="5"/>
      <c r="AM364" s="6"/>
    </row>
    <row r="365" spans="33:39" x14ac:dyDescent="0.35">
      <c r="AG365" s="5"/>
      <c r="AH365" s="5"/>
      <c r="AI365" s="5"/>
      <c r="AJ365" s="5"/>
      <c r="AK365" s="5"/>
      <c r="AL365" s="5"/>
      <c r="AM365" s="6"/>
    </row>
    <row r="366" spans="33:39" x14ac:dyDescent="0.35">
      <c r="AG366" s="5"/>
      <c r="AH366" s="5"/>
      <c r="AI366" s="5"/>
      <c r="AJ366" s="5"/>
      <c r="AK366" s="5"/>
      <c r="AL366" s="5"/>
      <c r="AM366" s="6"/>
    </row>
    <row r="367" spans="33:39" x14ac:dyDescent="0.35">
      <c r="AG367" s="5"/>
      <c r="AH367" s="5"/>
      <c r="AI367" s="5"/>
      <c r="AJ367" s="5"/>
      <c r="AK367" s="5"/>
      <c r="AL367" s="5"/>
      <c r="AM367" s="6"/>
    </row>
    <row r="368" spans="33:39" x14ac:dyDescent="0.35">
      <c r="AG368" s="5"/>
      <c r="AH368" s="5"/>
      <c r="AI368" s="5"/>
      <c r="AJ368" s="5"/>
      <c r="AK368" s="5"/>
      <c r="AL368" s="5"/>
      <c r="AM368" s="6"/>
    </row>
    <row r="369" spans="33:39" x14ac:dyDescent="0.35">
      <c r="AG369" s="5"/>
      <c r="AH369" s="5"/>
      <c r="AI369" s="5"/>
      <c r="AJ369" s="5"/>
      <c r="AK369" s="5"/>
      <c r="AL369" s="5"/>
      <c r="AM369" s="6"/>
    </row>
    <row r="370" spans="33:39" x14ac:dyDescent="0.35">
      <c r="AG370" s="5"/>
      <c r="AH370" s="5"/>
      <c r="AI370" s="5"/>
      <c r="AJ370" s="5"/>
      <c r="AK370" s="5"/>
      <c r="AL370" s="5"/>
      <c r="AM370" s="6"/>
    </row>
    <row r="371" spans="33:39" x14ac:dyDescent="0.35">
      <c r="AG371" s="5"/>
      <c r="AH371" s="5"/>
      <c r="AI371" s="5"/>
      <c r="AJ371" s="5"/>
      <c r="AK371" s="5"/>
      <c r="AL371" s="5"/>
      <c r="AM371" s="6"/>
    </row>
    <row r="372" spans="33:39" x14ac:dyDescent="0.35">
      <c r="AG372" s="5"/>
      <c r="AH372" s="5"/>
      <c r="AI372" s="5"/>
      <c r="AJ372" s="5"/>
      <c r="AK372" s="5"/>
      <c r="AL372" s="5"/>
      <c r="AM372" s="6"/>
    </row>
    <row r="373" spans="33:39" x14ac:dyDescent="0.35">
      <c r="AG373" s="5"/>
      <c r="AH373" s="5"/>
      <c r="AI373" s="5"/>
      <c r="AJ373" s="5"/>
      <c r="AK373" s="5"/>
      <c r="AL373" s="5"/>
      <c r="AM373" s="6"/>
    </row>
    <row r="374" spans="33:39" x14ac:dyDescent="0.35">
      <c r="AG374" s="5"/>
      <c r="AH374" s="5"/>
      <c r="AI374" s="5"/>
      <c r="AJ374" s="5"/>
      <c r="AK374" s="5"/>
      <c r="AL374" s="5"/>
      <c r="AM374" s="6"/>
    </row>
    <row r="375" spans="33:39" x14ac:dyDescent="0.35">
      <c r="AG375" s="5"/>
      <c r="AH375" s="5"/>
      <c r="AI375" s="5"/>
      <c r="AJ375" s="5"/>
      <c r="AK375" s="5"/>
      <c r="AL375" s="5"/>
      <c r="AM375" s="6"/>
    </row>
    <row r="376" spans="33:39" x14ac:dyDescent="0.35">
      <c r="AG376" s="5"/>
      <c r="AH376" s="5"/>
      <c r="AI376" s="5"/>
      <c r="AJ376" s="5"/>
      <c r="AK376" s="5"/>
      <c r="AL376" s="5"/>
      <c r="AM376" s="6"/>
    </row>
    <row r="377" spans="33:39" x14ac:dyDescent="0.35">
      <c r="AG377" s="5"/>
      <c r="AH377" s="5"/>
      <c r="AI377" s="5"/>
      <c r="AJ377" s="5"/>
      <c r="AK377" s="5"/>
      <c r="AL377" s="5"/>
      <c r="AM377" s="6"/>
    </row>
    <row r="378" spans="33:39" x14ac:dyDescent="0.35">
      <c r="AG378" s="5"/>
      <c r="AH378" s="5"/>
      <c r="AI378" s="5"/>
      <c r="AJ378" s="5"/>
      <c r="AK378" s="5"/>
      <c r="AL378" s="5"/>
      <c r="AM378" s="6"/>
    </row>
    <row r="379" spans="33:39" x14ac:dyDescent="0.35">
      <c r="AG379" s="5"/>
      <c r="AH379" s="5"/>
      <c r="AI379" s="5"/>
      <c r="AJ379" s="5"/>
      <c r="AK379" s="5"/>
      <c r="AL379" s="5"/>
      <c r="AM379" s="6"/>
    </row>
    <row r="380" spans="33:39" x14ac:dyDescent="0.35">
      <c r="AG380" s="5"/>
      <c r="AH380" s="5"/>
      <c r="AI380" s="5"/>
      <c r="AJ380" s="5"/>
      <c r="AK380" s="5"/>
      <c r="AL380" s="5"/>
      <c r="AM380" s="6"/>
    </row>
    <row r="381" spans="33:39" x14ac:dyDescent="0.35">
      <c r="AG381" s="5"/>
      <c r="AH381" s="5"/>
      <c r="AI381" s="5"/>
      <c r="AJ381" s="5"/>
      <c r="AK381" s="5"/>
      <c r="AL381" s="5"/>
      <c r="AM381" s="6"/>
    </row>
    <row r="382" spans="33:39" x14ac:dyDescent="0.35">
      <c r="AG382" s="5"/>
      <c r="AH382" s="5"/>
      <c r="AI382" s="5"/>
      <c r="AJ382" s="5"/>
      <c r="AK382" s="5"/>
      <c r="AL382" s="5"/>
      <c r="AM382" s="6"/>
    </row>
    <row r="383" spans="33:39" x14ac:dyDescent="0.35">
      <c r="AG383" s="5"/>
      <c r="AH383" s="5"/>
      <c r="AI383" s="5"/>
      <c r="AJ383" s="5"/>
      <c r="AK383" s="5"/>
      <c r="AL383" s="5"/>
      <c r="AM383" s="6"/>
    </row>
    <row r="384" spans="33:39" x14ac:dyDescent="0.35">
      <c r="AG384" s="5"/>
      <c r="AH384" s="5"/>
      <c r="AI384" s="5"/>
      <c r="AJ384" s="5"/>
      <c r="AK384" s="5"/>
      <c r="AL384" s="5"/>
      <c r="AM384" s="6"/>
    </row>
    <row r="385" spans="33:39" x14ac:dyDescent="0.35">
      <c r="AG385" s="5"/>
      <c r="AH385" s="5"/>
      <c r="AI385" s="5"/>
      <c r="AJ385" s="5"/>
      <c r="AK385" s="5"/>
      <c r="AL385" s="5"/>
      <c r="AM385" s="6"/>
    </row>
    <row r="386" spans="33:39" x14ac:dyDescent="0.35">
      <c r="AG386" s="5"/>
      <c r="AH386" s="5"/>
      <c r="AI386" s="5"/>
      <c r="AJ386" s="5"/>
      <c r="AK386" s="5"/>
      <c r="AL386" s="5"/>
      <c r="AM386" s="6"/>
    </row>
    <row r="387" spans="33:39" x14ac:dyDescent="0.35">
      <c r="AG387" s="5"/>
      <c r="AH387" s="5"/>
      <c r="AI387" s="5"/>
      <c r="AJ387" s="5"/>
      <c r="AK387" s="5"/>
      <c r="AL387" s="5"/>
      <c r="AM387" s="6"/>
    </row>
    <row r="388" spans="33:39" x14ac:dyDescent="0.35">
      <c r="AG388" s="5"/>
      <c r="AH388" s="5"/>
      <c r="AI388" s="5"/>
      <c r="AJ388" s="5"/>
      <c r="AK388" s="5"/>
      <c r="AL388" s="5"/>
      <c r="AM388" s="6"/>
    </row>
    <row r="389" spans="33:39" x14ac:dyDescent="0.35">
      <c r="AG389" s="5"/>
      <c r="AH389" s="5"/>
      <c r="AI389" s="5"/>
      <c r="AJ389" s="5"/>
      <c r="AK389" s="5"/>
      <c r="AL389" s="5"/>
      <c r="AM389" s="6"/>
    </row>
    <row r="390" spans="33:39" x14ac:dyDescent="0.35">
      <c r="AG390" s="5"/>
      <c r="AH390" s="5"/>
      <c r="AI390" s="5"/>
      <c r="AJ390" s="5"/>
      <c r="AK390" s="5"/>
      <c r="AL390" s="5"/>
      <c r="AM390" s="6"/>
    </row>
    <row r="391" spans="33:39" x14ac:dyDescent="0.35">
      <c r="AG391" s="5"/>
      <c r="AH391" s="5"/>
      <c r="AI391" s="5"/>
      <c r="AJ391" s="5"/>
      <c r="AK391" s="5"/>
      <c r="AL391" s="5"/>
      <c r="AM391" s="6"/>
    </row>
    <row r="392" spans="33:39" x14ac:dyDescent="0.35">
      <c r="AG392" s="5"/>
      <c r="AH392" s="5"/>
      <c r="AI392" s="5"/>
      <c r="AJ392" s="5"/>
      <c r="AK392" s="5"/>
      <c r="AL392" s="5"/>
      <c r="AM392" s="6"/>
    </row>
    <row r="393" spans="33:39" x14ac:dyDescent="0.35">
      <c r="AG393" s="5"/>
      <c r="AH393" s="5"/>
      <c r="AI393" s="5"/>
      <c r="AJ393" s="5"/>
      <c r="AK393" s="5"/>
      <c r="AL393" s="5"/>
      <c r="AM393" s="6"/>
    </row>
    <row r="394" spans="33:39" x14ac:dyDescent="0.35">
      <c r="AG394" s="5"/>
      <c r="AH394" s="5"/>
      <c r="AI394" s="5"/>
      <c r="AJ394" s="5"/>
      <c r="AK394" s="5"/>
      <c r="AL394" s="5"/>
      <c r="AM394" s="6"/>
    </row>
    <row r="395" spans="33:39" x14ac:dyDescent="0.35">
      <c r="AG395" s="5"/>
      <c r="AH395" s="5"/>
      <c r="AI395" s="5"/>
      <c r="AJ395" s="5"/>
      <c r="AK395" s="5"/>
      <c r="AL395" s="5"/>
      <c r="AM395" s="6"/>
    </row>
    <row r="396" spans="33:39" x14ac:dyDescent="0.35">
      <c r="AG396" s="5"/>
      <c r="AH396" s="5"/>
      <c r="AI396" s="5"/>
      <c r="AJ396" s="5"/>
      <c r="AK396" s="5"/>
      <c r="AL396" s="5"/>
      <c r="AM396" s="6"/>
    </row>
    <row r="397" spans="33:39" x14ac:dyDescent="0.35">
      <c r="AG397" s="5"/>
      <c r="AH397" s="5"/>
      <c r="AI397" s="5"/>
      <c r="AJ397" s="5"/>
      <c r="AK397" s="5"/>
      <c r="AL397" s="5"/>
      <c r="AM397" s="6"/>
    </row>
    <row r="398" spans="33:39" x14ac:dyDescent="0.35">
      <c r="AG398" s="5"/>
      <c r="AH398" s="5"/>
      <c r="AI398" s="5"/>
      <c r="AJ398" s="5"/>
      <c r="AK398" s="5"/>
      <c r="AL398" s="5"/>
      <c r="AM398" s="6"/>
    </row>
    <row r="399" spans="33:39" x14ac:dyDescent="0.35">
      <c r="AG399" s="5"/>
      <c r="AH399" s="5"/>
      <c r="AI399" s="5"/>
      <c r="AJ399" s="5"/>
      <c r="AK399" s="5"/>
      <c r="AL399" s="5"/>
      <c r="AM399" s="6"/>
    </row>
    <row r="400" spans="33:39" x14ac:dyDescent="0.35">
      <c r="AG400" s="5"/>
      <c r="AH400" s="5"/>
      <c r="AI400" s="5"/>
      <c r="AJ400" s="5"/>
      <c r="AK400" s="5"/>
      <c r="AL400" s="5"/>
      <c r="AM400" s="6"/>
    </row>
    <row r="401" spans="33:39" x14ac:dyDescent="0.35">
      <c r="AG401" s="5"/>
      <c r="AH401" s="5"/>
      <c r="AI401" s="5"/>
      <c r="AJ401" s="5"/>
      <c r="AK401" s="5"/>
      <c r="AL401" s="5"/>
      <c r="AM401" s="6"/>
    </row>
    <row r="402" spans="33:39" x14ac:dyDescent="0.35">
      <c r="AG402" s="5"/>
      <c r="AH402" s="5"/>
      <c r="AI402" s="5"/>
      <c r="AJ402" s="5"/>
      <c r="AK402" s="5"/>
      <c r="AL402" s="5"/>
      <c r="AM402" s="6"/>
    </row>
    <row r="403" spans="33:39" x14ac:dyDescent="0.35">
      <c r="AG403" s="5"/>
      <c r="AH403" s="5"/>
      <c r="AI403" s="5"/>
      <c r="AJ403" s="5"/>
      <c r="AK403" s="5"/>
      <c r="AL403" s="5"/>
      <c r="AM403" s="6"/>
    </row>
    <row r="404" spans="33:39" x14ac:dyDescent="0.35">
      <c r="AG404" s="5"/>
      <c r="AH404" s="5"/>
      <c r="AI404" s="5"/>
      <c r="AJ404" s="5"/>
      <c r="AK404" s="5"/>
      <c r="AL404" s="5"/>
      <c r="AM404" s="6"/>
    </row>
    <row r="405" spans="33:39" x14ac:dyDescent="0.35">
      <c r="AG405" s="5"/>
      <c r="AH405" s="5"/>
      <c r="AI405" s="5"/>
      <c r="AJ405" s="5"/>
      <c r="AK405" s="5"/>
      <c r="AL405" s="5"/>
      <c r="AM405" s="6"/>
    </row>
    <row r="406" spans="33:39" x14ac:dyDescent="0.35">
      <c r="AG406" s="5"/>
      <c r="AH406" s="5"/>
      <c r="AI406" s="5"/>
      <c r="AJ406" s="5"/>
      <c r="AK406" s="5"/>
      <c r="AL406" s="5"/>
      <c r="AM406" s="6"/>
    </row>
    <row r="407" spans="33:39" x14ac:dyDescent="0.35">
      <c r="AG407" s="5"/>
      <c r="AH407" s="5"/>
      <c r="AI407" s="5"/>
      <c r="AJ407" s="5"/>
      <c r="AK407" s="5"/>
      <c r="AL407" s="5"/>
      <c r="AM407" s="6"/>
    </row>
    <row r="408" spans="33:39" x14ac:dyDescent="0.35">
      <c r="AG408" s="5"/>
      <c r="AH408" s="5"/>
      <c r="AI408" s="5"/>
      <c r="AJ408" s="5"/>
      <c r="AK408" s="5"/>
      <c r="AL408" s="5"/>
      <c r="AM408" s="6"/>
    </row>
    <row r="409" spans="33:39" x14ac:dyDescent="0.35">
      <c r="AG409" s="5"/>
      <c r="AH409" s="5"/>
      <c r="AI409" s="5"/>
      <c r="AJ409" s="5"/>
      <c r="AK409" s="5"/>
      <c r="AL409" s="5"/>
      <c r="AM409" s="6"/>
    </row>
    <row r="410" spans="33:39" x14ac:dyDescent="0.35">
      <c r="AG410" s="5"/>
      <c r="AH410" s="5"/>
      <c r="AI410" s="5"/>
      <c r="AJ410" s="5"/>
      <c r="AK410" s="5"/>
      <c r="AL410" s="5"/>
      <c r="AM410" s="6"/>
    </row>
    <row r="411" spans="33:39" x14ac:dyDescent="0.35">
      <c r="AG411" s="5"/>
      <c r="AH411" s="5"/>
      <c r="AI411" s="5"/>
      <c r="AJ411" s="5"/>
      <c r="AK411" s="5"/>
      <c r="AL411" s="5"/>
      <c r="AM411" s="6"/>
    </row>
    <row r="412" spans="33:39" x14ac:dyDescent="0.35">
      <c r="AG412" s="5"/>
      <c r="AH412" s="5"/>
      <c r="AI412" s="5"/>
      <c r="AJ412" s="5"/>
      <c r="AK412" s="5"/>
      <c r="AL412" s="5"/>
      <c r="AM412" s="6"/>
    </row>
    <row r="413" spans="33:39" x14ac:dyDescent="0.35">
      <c r="AG413" s="5"/>
      <c r="AH413" s="5"/>
      <c r="AI413" s="5"/>
      <c r="AJ413" s="5"/>
      <c r="AK413" s="5"/>
      <c r="AL413" s="5"/>
      <c r="AM413" s="6"/>
    </row>
    <row r="414" spans="33:39" x14ac:dyDescent="0.35">
      <c r="AG414" s="5"/>
      <c r="AH414" s="5"/>
      <c r="AI414" s="5"/>
      <c r="AJ414" s="5"/>
      <c r="AK414" s="5"/>
      <c r="AL414" s="5"/>
      <c r="AM414" s="6"/>
    </row>
    <row r="415" spans="33:39" x14ac:dyDescent="0.35">
      <c r="AG415" s="5"/>
      <c r="AH415" s="5"/>
      <c r="AI415" s="5"/>
      <c r="AJ415" s="5"/>
      <c r="AK415" s="5"/>
      <c r="AL415" s="5"/>
      <c r="AM415" s="6"/>
    </row>
    <row r="416" spans="33:39" x14ac:dyDescent="0.35">
      <c r="AG416" s="5"/>
      <c r="AH416" s="5"/>
      <c r="AI416" s="5"/>
      <c r="AJ416" s="5"/>
      <c r="AK416" s="5"/>
      <c r="AL416" s="5"/>
      <c r="AM416" s="6"/>
    </row>
    <row r="417" spans="33:39" x14ac:dyDescent="0.35">
      <c r="AG417" s="5"/>
      <c r="AH417" s="5"/>
      <c r="AI417" s="5"/>
      <c r="AJ417" s="5"/>
      <c r="AK417" s="5"/>
      <c r="AL417" s="5"/>
      <c r="AM417" s="6"/>
    </row>
    <row r="418" spans="33:39" x14ac:dyDescent="0.35">
      <c r="AG418" s="5"/>
      <c r="AH418" s="5"/>
      <c r="AI418" s="5"/>
      <c r="AJ418" s="5"/>
      <c r="AK418" s="5"/>
      <c r="AL418" s="5"/>
      <c r="AM418" s="6"/>
    </row>
    <row r="419" spans="33:39" x14ac:dyDescent="0.35">
      <c r="AG419" s="5"/>
      <c r="AH419" s="5"/>
      <c r="AI419" s="5"/>
      <c r="AJ419" s="5"/>
      <c r="AK419" s="5"/>
      <c r="AL419" s="5"/>
      <c r="AM419" s="6"/>
    </row>
    <row r="420" spans="33:39" x14ac:dyDescent="0.35">
      <c r="AG420" s="5"/>
      <c r="AH420" s="5"/>
      <c r="AI420" s="5"/>
      <c r="AJ420" s="5"/>
      <c r="AK420" s="5"/>
      <c r="AL420" s="5"/>
      <c r="AM420" s="6"/>
    </row>
    <row r="421" spans="33:39" x14ac:dyDescent="0.35">
      <c r="AG421" s="5"/>
      <c r="AH421" s="5"/>
      <c r="AI421" s="5"/>
      <c r="AJ421" s="5"/>
      <c r="AK421" s="5"/>
      <c r="AL421" s="5"/>
      <c r="AM421" s="6"/>
    </row>
    <row r="422" spans="33:39" x14ac:dyDescent="0.35">
      <c r="AG422" s="5"/>
      <c r="AH422" s="5"/>
      <c r="AI422" s="5"/>
      <c r="AJ422" s="5"/>
      <c r="AK422" s="5"/>
      <c r="AL422" s="5"/>
      <c r="AM422" s="6"/>
    </row>
    <row r="423" spans="33:39" x14ac:dyDescent="0.35">
      <c r="AG423" s="5"/>
      <c r="AH423" s="5"/>
      <c r="AI423" s="5"/>
      <c r="AJ423" s="5"/>
      <c r="AK423" s="5"/>
      <c r="AL423" s="5"/>
      <c r="AM423" s="6"/>
    </row>
    <row r="424" spans="33:39" x14ac:dyDescent="0.35">
      <c r="AG424" s="5"/>
      <c r="AH424" s="5"/>
      <c r="AI424" s="5"/>
      <c r="AJ424" s="5"/>
      <c r="AK424" s="5"/>
      <c r="AL424" s="5"/>
      <c r="AM424" s="6"/>
    </row>
    <row r="425" spans="33:39" x14ac:dyDescent="0.35">
      <c r="AG425" s="5"/>
      <c r="AH425" s="5"/>
      <c r="AI425" s="5"/>
      <c r="AJ425" s="5"/>
      <c r="AK425" s="5"/>
      <c r="AL425" s="5"/>
      <c r="AM425" s="6"/>
    </row>
    <row r="426" spans="33:39" x14ac:dyDescent="0.35">
      <c r="AG426" s="5"/>
      <c r="AH426" s="5"/>
      <c r="AI426" s="5"/>
      <c r="AJ426" s="5"/>
      <c r="AK426" s="5"/>
      <c r="AL426" s="5"/>
      <c r="AM426" s="6"/>
    </row>
    <row r="427" spans="33:39" x14ac:dyDescent="0.35">
      <c r="AG427" s="5"/>
      <c r="AH427" s="5"/>
      <c r="AI427" s="5"/>
      <c r="AJ427" s="5"/>
      <c r="AK427" s="5"/>
      <c r="AL427" s="5"/>
      <c r="AM427" s="6"/>
    </row>
    <row r="428" spans="33:39" x14ac:dyDescent="0.35">
      <c r="AG428" s="5"/>
      <c r="AH428" s="5"/>
      <c r="AI428" s="5"/>
      <c r="AJ428" s="5"/>
      <c r="AK428" s="5"/>
      <c r="AL428" s="5"/>
      <c r="AM428" s="6"/>
    </row>
    <row r="429" spans="33:39" x14ac:dyDescent="0.35">
      <c r="AG429" s="5"/>
      <c r="AH429" s="5"/>
      <c r="AI429" s="5"/>
      <c r="AJ429" s="5"/>
      <c r="AK429" s="5"/>
      <c r="AL429" s="5"/>
      <c r="AM429" s="6"/>
    </row>
    <row r="430" spans="33:39" x14ac:dyDescent="0.35">
      <c r="AG430" s="5"/>
      <c r="AH430" s="5"/>
      <c r="AI430" s="5"/>
      <c r="AJ430" s="5"/>
      <c r="AK430" s="5"/>
      <c r="AL430" s="5"/>
      <c r="AM430" s="6"/>
    </row>
    <row r="431" spans="33:39" x14ac:dyDescent="0.35">
      <c r="AG431" s="5"/>
      <c r="AH431" s="5"/>
      <c r="AI431" s="5"/>
      <c r="AJ431" s="5"/>
      <c r="AK431" s="5"/>
      <c r="AL431" s="5"/>
      <c r="AM431" s="6"/>
    </row>
    <row r="432" spans="33:39" x14ac:dyDescent="0.35">
      <c r="AG432" s="5"/>
      <c r="AH432" s="5"/>
      <c r="AI432" s="5"/>
      <c r="AJ432" s="5"/>
      <c r="AK432" s="5"/>
      <c r="AL432" s="5"/>
      <c r="AM432" s="6"/>
    </row>
    <row r="433" spans="33:39" x14ac:dyDescent="0.35">
      <c r="AG433" s="5"/>
      <c r="AH433" s="5"/>
      <c r="AI433" s="5"/>
      <c r="AJ433" s="5"/>
      <c r="AK433" s="5"/>
      <c r="AL433" s="5"/>
      <c r="AM433" s="6"/>
    </row>
    <row r="434" spans="33:39" x14ac:dyDescent="0.35">
      <c r="AG434" s="5"/>
      <c r="AH434" s="5"/>
      <c r="AI434" s="5"/>
      <c r="AJ434" s="5"/>
      <c r="AK434" s="5"/>
      <c r="AL434" s="5"/>
      <c r="AM434" s="6"/>
    </row>
    <row r="435" spans="33:39" x14ac:dyDescent="0.35">
      <c r="AG435" s="5"/>
      <c r="AH435" s="5"/>
      <c r="AI435" s="5"/>
      <c r="AJ435" s="5"/>
      <c r="AK435" s="5"/>
      <c r="AL435" s="5"/>
      <c r="AM435" s="6"/>
    </row>
    <row r="436" spans="33:39" x14ac:dyDescent="0.35">
      <c r="AG436" s="5"/>
      <c r="AH436" s="5"/>
      <c r="AI436" s="5"/>
      <c r="AJ436" s="5"/>
      <c r="AK436" s="5"/>
      <c r="AL436" s="5"/>
      <c r="AM436" s="6"/>
    </row>
    <row r="437" spans="33:39" x14ac:dyDescent="0.35">
      <c r="AG437" s="5"/>
      <c r="AH437" s="5"/>
      <c r="AI437" s="5"/>
      <c r="AJ437" s="5"/>
      <c r="AK437" s="5"/>
      <c r="AL437" s="5"/>
      <c r="AM437" s="6"/>
    </row>
    <row r="438" spans="33:39" x14ac:dyDescent="0.35">
      <c r="AG438" s="5"/>
      <c r="AH438" s="5"/>
      <c r="AI438" s="5"/>
      <c r="AJ438" s="5"/>
      <c r="AK438" s="5"/>
      <c r="AL438" s="5"/>
      <c r="AM438" s="6"/>
    </row>
    <row r="439" spans="33:39" x14ac:dyDescent="0.35">
      <c r="AG439" s="5"/>
      <c r="AH439" s="5"/>
      <c r="AI439" s="5"/>
      <c r="AJ439" s="5"/>
      <c r="AK439" s="5"/>
      <c r="AL439" s="5"/>
      <c r="AM439" s="6"/>
    </row>
    <row r="440" spans="33:39" x14ac:dyDescent="0.35">
      <c r="AG440" s="5"/>
      <c r="AH440" s="5"/>
      <c r="AI440" s="5"/>
      <c r="AJ440" s="5"/>
      <c r="AK440" s="5"/>
      <c r="AL440" s="5"/>
      <c r="AM440" s="6"/>
    </row>
    <row r="441" spans="33:39" x14ac:dyDescent="0.35">
      <c r="AG441" s="5"/>
      <c r="AH441" s="5"/>
      <c r="AI441" s="5"/>
      <c r="AJ441" s="5"/>
      <c r="AK441" s="5"/>
      <c r="AL441" s="5"/>
      <c r="AM441" s="6"/>
    </row>
    <row r="442" spans="33:39" x14ac:dyDescent="0.35">
      <c r="AG442" s="5"/>
      <c r="AH442" s="5"/>
      <c r="AI442" s="5"/>
      <c r="AJ442" s="5"/>
      <c r="AK442" s="5"/>
      <c r="AL442" s="5"/>
      <c r="AM442" s="6"/>
    </row>
    <row r="443" spans="33:39" x14ac:dyDescent="0.35">
      <c r="AG443" s="5"/>
      <c r="AH443" s="5"/>
      <c r="AI443" s="5"/>
      <c r="AJ443" s="5"/>
      <c r="AK443" s="5"/>
      <c r="AL443" s="5"/>
      <c r="AM443" s="6"/>
    </row>
    <row r="444" spans="33:39" x14ac:dyDescent="0.35">
      <c r="AG444" s="5"/>
      <c r="AH444" s="5"/>
      <c r="AI444" s="5"/>
      <c r="AJ444" s="5"/>
      <c r="AK444" s="5"/>
      <c r="AL444" s="5"/>
      <c r="AM444" s="6"/>
    </row>
    <row r="445" spans="33:39" x14ac:dyDescent="0.35">
      <c r="AG445" s="5"/>
      <c r="AH445" s="5"/>
      <c r="AI445" s="5"/>
      <c r="AJ445" s="5"/>
      <c r="AK445" s="5"/>
      <c r="AL445" s="5"/>
      <c r="AM445" s="6"/>
    </row>
    <row r="446" spans="33:39" x14ac:dyDescent="0.35">
      <c r="AG446" s="5"/>
      <c r="AH446" s="5"/>
      <c r="AI446" s="5"/>
      <c r="AJ446" s="5"/>
      <c r="AK446" s="5"/>
      <c r="AL446" s="5"/>
      <c r="AM446" s="6"/>
    </row>
    <row r="447" spans="33:39" x14ac:dyDescent="0.35">
      <c r="AG447" s="5"/>
      <c r="AH447" s="5"/>
      <c r="AI447" s="5"/>
      <c r="AJ447" s="5"/>
      <c r="AK447" s="5"/>
      <c r="AL447" s="5"/>
      <c r="AM447" s="6"/>
    </row>
    <row r="448" spans="33:39" x14ac:dyDescent="0.35">
      <c r="AG448" s="5"/>
      <c r="AH448" s="5"/>
      <c r="AI448" s="5"/>
      <c r="AJ448" s="5"/>
      <c r="AK448" s="5"/>
      <c r="AL448" s="5"/>
      <c r="AM448" s="6"/>
    </row>
    <row r="449" spans="33:39" x14ac:dyDescent="0.35">
      <c r="AG449" s="5"/>
      <c r="AH449" s="5"/>
      <c r="AI449" s="5"/>
      <c r="AJ449" s="5"/>
      <c r="AK449" s="5"/>
      <c r="AL449" s="5"/>
      <c r="AM449" s="6"/>
    </row>
    <row r="450" spans="33:39" x14ac:dyDescent="0.35">
      <c r="AG450" s="5"/>
      <c r="AH450" s="5"/>
      <c r="AI450" s="5"/>
      <c r="AJ450" s="5"/>
      <c r="AK450" s="5"/>
      <c r="AL450" s="5"/>
      <c r="AM450" s="6"/>
    </row>
    <row r="451" spans="33:39" x14ac:dyDescent="0.35">
      <c r="AG451" s="5"/>
      <c r="AH451" s="5"/>
      <c r="AI451" s="5"/>
      <c r="AJ451" s="5"/>
      <c r="AK451" s="5"/>
      <c r="AL451" s="5"/>
      <c r="AM451" s="6"/>
    </row>
    <row r="452" spans="33:39" x14ac:dyDescent="0.35">
      <c r="AG452" s="5"/>
      <c r="AH452" s="5"/>
      <c r="AI452" s="5"/>
      <c r="AJ452" s="5"/>
      <c r="AK452" s="5"/>
      <c r="AL452" s="5"/>
      <c r="AM452" s="6"/>
    </row>
    <row r="453" spans="33:39" x14ac:dyDescent="0.35">
      <c r="AG453" s="5"/>
      <c r="AH453" s="5"/>
      <c r="AI453" s="5"/>
      <c r="AJ453" s="5"/>
      <c r="AK453" s="5"/>
      <c r="AL453" s="5"/>
      <c r="AM453" s="6"/>
    </row>
    <row r="454" spans="33:39" x14ac:dyDescent="0.35">
      <c r="AG454" s="5"/>
      <c r="AH454" s="5"/>
      <c r="AI454" s="5"/>
      <c r="AJ454" s="5"/>
      <c r="AK454" s="5"/>
      <c r="AL454" s="5"/>
      <c r="AM454" s="6"/>
    </row>
    <row r="455" spans="33:39" x14ac:dyDescent="0.35">
      <c r="AG455" s="5"/>
      <c r="AH455" s="5"/>
      <c r="AI455" s="5"/>
      <c r="AJ455" s="5"/>
      <c r="AK455" s="5"/>
      <c r="AL455" s="5"/>
      <c r="AM455" s="6"/>
    </row>
    <row r="456" spans="33:39" x14ac:dyDescent="0.35">
      <c r="AG456" s="5"/>
      <c r="AH456" s="5"/>
      <c r="AI456" s="5"/>
      <c r="AJ456" s="5"/>
      <c r="AK456" s="5"/>
      <c r="AL456" s="5"/>
      <c r="AM456" s="6"/>
    </row>
    <row r="457" spans="33:39" x14ac:dyDescent="0.35">
      <c r="AG457" s="5"/>
      <c r="AH457" s="5"/>
      <c r="AI457" s="5"/>
      <c r="AJ457" s="5"/>
      <c r="AK457" s="5"/>
      <c r="AL457" s="5"/>
      <c r="AM457" s="6"/>
    </row>
    <row r="458" spans="33:39" x14ac:dyDescent="0.35">
      <c r="AG458" s="5"/>
      <c r="AH458" s="5"/>
      <c r="AI458" s="5"/>
      <c r="AJ458" s="5"/>
      <c r="AK458" s="5"/>
      <c r="AL458" s="5"/>
      <c r="AM458" s="6"/>
    </row>
    <row r="459" spans="33:39" x14ac:dyDescent="0.35">
      <c r="AG459" s="5"/>
      <c r="AH459" s="5"/>
      <c r="AI459" s="5"/>
      <c r="AJ459" s="5"/>
      <c r="AK459" s="5"/>
      <c r="AL459" s="5"/>
      <c r="AM459" s="6"/>
    </row>
    <row r="460" spans="33:39" x14ac:dyDescent="0.35">
      <c r="AG460" s="5"/>
      <c r="AH460" s="5"/>
      <c r="AI460" s="5"/>
      <c r="AJ460" s="5"/>
      <c r="AK460" s="5"/>
      <c r="AL460" s="5"/>
      <c r="AM460" s="6"/>
    </row>
    <row r="461" spans="33:39" x14ac:dyDescent="0.35">
      <c r="AG461" s="5"/>
      <c r="AH461" s="5"/>
      <c r="AI461" s="5"/>
      <c r="AJ461" s="5"/>
      <c r="AK461" s="5"/>
      <c r="AL461" s="5"/>
      <c r="AM461" s="6"/>
    </row>
    <row r="462" spans="33:39" x14ac:dyDescent="0.35">
      <c r="AG462" s="5"/>
      <c r="AH462" s="5"/>
      <c r="AI462" s="5"/>
      <c r="AJ462" s="5"/>
      <c r="AK462" s="5"/>
      <c r="AL462" s="5"/>
      <c r="AM462" s="6"/>
    </row>
    <row r="463" spans="33:39" x14ac:dyDescent="0.35">
      <c r="AG463" s="5"/>
      <c r="AH463" s="5"/>
      <c r="AI463" s="5"/>
      <c r="AJ463" s="5"/>
      <c r="AK463" s="5"/>
      <c r="AL463" s="5"/>
      <c r="AM463" s="6"/>
    </row>
    <row r="464" spans="33:39" x14ac:dyDescent="0.35">
      <c r="AG464" s="5"/>
      <c r="AH464" s="5"/>
      <c r="AI464" s="5"/>
      <c r="AJ464" s="5"/>
      <c r="AK464" s="5"/>
      <c r="AL464" s="5"/>
      <c r="AM464" s="6"/>
    </row>
    <row r="465" spans="33:39" x14ac:dyDescent="0.35">
      <c r="AG465" s="5"/>
      <c r="AH465" s="5"/>
      <c r="AI465" s="5"/>
      <c r="AJ465" s="5"/>
      <c r="AK465" s="5"/>
      <c r="AL465" s="5"/>
      <c r="AM465" s="6"/>
    </row>
    <row r="466" spans="33:39" x14ac:dyDescent="0.35">
      <c r="AG466" s="5"/>
      <c r="AH466" s="5"/>
      <c r="AI466" s="5"/>
      <c r="AJ466" s="5"/>
      <c r="AK466" s="5"/>
      <c r="AL466" s="5"/>
      <c r="AM466" s="6"/>
    </row>
    <row r="467" spans="33:39" x14ac:dyDescent="0.35">
      <c r="AG467" s="5"/>
      <c r="AH467" s="5"/>
      <c r="AI467" s="5"/>
      <c r="AJ467" s="5"/>
      <c r="AK467" s="5"/>
      <c r="AL467" s="5"/>
      <c r="AM467" s="6"/>
    </row>
    <row r="468" spans="33:39" x14ac:dyDescent="0.35">
      <c r="AG468" s="5"/>
      <c r="AH468" s="5"/>
      <c r="AI468" s="5"/>
      <c r="AJ468" s="5"/>
      <c r="AK468" s="5"/>
      <c r="AL468" s="5"/>
      <c r="AM468" s="6"/>
    </row>
    <row r="469" spans="33:39" x14ac:dyDescent="0.35">
      <c r="AG469" s="5"/>
      <c r="AH469" s="5"/>
      <c r="AI469" s="5"/>
      <c r="AJ469" s="5"/>
      <c r="AK469" s="5"/>
      <c r="AL469" s="5"/>
      <c r="AM469" s="6"/>
    </row>
    <row r="470" spans="33:39" x14ac:dyDescent="0.35">
      <c r="AG470" s="5"/>
      <c r="AH470" s="5"/>
      <c r="AI470" s="5"/>
      <c r="AJ470" s="5"/>
      <c r="AK470" s="5"/>
      <c r="AL470" s="5"/>
      <c r="AM470" s="6"/>
    </row>
    <row r="471" spans="33:39" x14ac:dyDescent="0.35">
      <c r="AG471" s="5"/>
      <c r="AH471" s="5"/>
      <c r="AI471" s="5"/>
      <c r="AJ471" s="5"/>
      <c r="AK471" s="5"/>
      <c r="AL471" s="5"/>
      <c r="AM471" s="6"/>
    </row>
    <row r="472" spans="33:39" x14ac:dyDescent="0.35">
      <c r="AG472" s="5"/>
      <c r="AH472" s="5"/>
      <c r="AI472" s="5"/>
      <c r="AJ472" s="5"/>
      <c r="AK472" s="5"/>
      <c r="AL472" s="5"/>
      <c r="AM472" s="6"/>
    </row>
    <row r="473" spans="33:39" x14ac:dyDescent="0.35">
      <c r="AG473" s="5"/>
      <c r="AH473" s="5"/>
      <c r="AI473" s="5"/>
      <c r="AJ473" s="5"/>
      <c r="AK473" s="5"/>
      <c r="AL473" s="5"/>
      <c r="AM473" s="6"/>
    </row>
    <row r="474" spans="33:39" x14ac:dyDescent="0.35">
      <c r="AG474" s="5"/>
      <c r="AH474" s="5"/>
      <c r="AI474" s="5"/>
      <c r="AJ474" s="5"/>
      <c r="AK474" s="5"/>
      <c r="AL474" s="5"/>
      <c r="AM474" s="6"/>
    </row>
    <row r="475" spans="33:39" x14ac:dyDescent="0.35">
      <c r="AG475" s="5"/>
      <c r="AH475" s="5"/>
      <c r="AI475" s="5"/>
      <c r="AJ475" s="5"/>
      <c r="AK475" s="5"/>
      <c r="AL475" s="5"/>
      <c r="AM475" s="6"/>
    </row>
    <row r="476" spans="33:39" x14ac:dyDescent="0.35">
      <c r="AG476" s="5"/>
      <c r="AH476" s="5"/>
      <c r="AI476" s="5"/>
      <c r="AJ476" s="5"/>
      <c r="AK476" s="5"/>
      <c r="AL476" s="5"/>
      <c r="AM476" s="6"/>
    </row>
    <row r="477" spans="33:39" x14ac:dyDescent="0.35">
      <c r="AG477" s="5"/>
      <c r="AH477" s="5"/>
      <c r="AI477" s="5"/>
      <c r="AJ477" s="5"/>
      <c r="AK477" s="5"/>
      <c r="AL477" s="5"/>
      <c r="AM477" s="6"/>
    </row>
    <row r="478" spans="33:39" x14ac:dyDescent="0.35">
      <c r="AG478" s="5"/>
      <c r="AH478" s="5"/>
      <c r="AI478" s="5"/>
      <c r="AJ478" s="5"/>
      <c r="AK478" s="5"/>
      <c r="AL478" s="5"/>
      <c r="AM478" s="6"/>
    </row>
    <row r="479" spans="33:39" x14ac:dyDescent="0.35">
      <c r="AG479" s="5"/>
      <c r="AH479" s="5"/>
      <c r="AI479" s="5"/>
      <c r="AJ479" s="5"/>
      <c r="AK479" s="5"/>
      <c r="AL479" s="5"/>
      <c r="AM479" s="6"/>
    </row>
    <row r="480" spans="33:39" x14ac:dyDescent="0.35">
      <c r="AG480" s="5"/>
      <c r="AH480" s="5"/>
      <c r="AI480" s="5"/>
      <c r="AJ480" s="5"/>
      <c r="AK480" s="5"/>
      <c r="AL480" s="5"/>
      <c r="AM480" s="6"/>
    </row>
  </sheetData>
  <dataValidations count="23">
    <dataValidation type="decimal" allowBlank="1" showInputMessage="1" showErrorMessage="1" errorTitle="Ground Surface Elevation" error="Enter a Ground Surface Elevation in feet. Field values must be between -300.0 and 10000.0." promptTitle="Ground Surface Elevation" prompt="Enter a Ground Surface Elevation in feet. Field values must be between -300.0 and 9999.9." sqref="J281" xr:uid="{B07B7479-049F-4EFC-8553-9FB0CC4A274C}">
      <formula1>-300</formula1>
      <formula2>9999.9</formula2>
    </dataValidation>
    <dataValidation allowBlank="1" showDropDown="1" showInputMessage="1" showErrorMessage="1" sqref="AA1" xr:uid="{EC38AF18-6C58-4813-9DE5-31BC72EC99AE}"/>
    <dataValidation type="custom" allowBlank="1" showInputMessage="1" showErrorMessage="1" errorTitle="Longitude" error="Enter a Longitude in decimal degrees. Field values must be between -124.50000 and -114.00000. Five decimal places are required. " promptTitle="Longitude" prompt="Enter a Longitude in decimal degrees. Field values must be between -124.50000 and -114.00000. Five decimal places are required. " sqref="O2:O1048576" xr:uid="{41717083-9306-4B69-A86C-36A0C68CB905}">
      <formula1>IF(AND(VALUE(O2)&gt;=-124.5,VALUE(O2)&lt;=-114,IF(IF(ISNUMBER(FIND(".",O2)),LEN(O2)-FIND(".",O2),IF(ISNUMBER(FIND(",",O2)),LEN(O2)-FIND(",",O2),0))&gt;=5, TRUE, FALSE)),TRUE, FALSE)</formula1>
    </dataValidation>
    <dataValidation type="custom" allowBlank="1" showInputMessage="1" showErrorMessage="1" errorTitle="Latitude" error="Enter a Latitude in decimal degrees. Field values must be between 32.00000 and 42.50000. Five decimal places are required. " promptTitle="Latitude" prompt="Enter a Latitude in decimal degrees. Field values must be between 32.00000 and 42.50000. Five decimal places are required. " sqref="N2:N1048576" xr:uid="{D76A30FA-0074-4599-BA8B-35A50E95858E}">
      <formula1>IF(AND(VALUE(N2)&gt;=32,VALUE(N2)&lt;=42.5,IF(IF(ISNUMBER(FIND(".",N2)),LEN(N2)-FIND(".",N2),IF(ISNUMBER(FIND(",",N2)),LEN(N2)-FIND(",",N2),0))&gt;=5, TRUE, FALSE)),TRUE, FALSE)</formula1>
    </dataValidation>
    <dataValidation type="decimal" allowBlank="1" showInputMessage="1" showErrorMessage="1" errorTitle="Ground Surface Elevation" error="Enter a Ground Surface Elevation in feet. Field values must be between -300.0 and 9999.9." promptTitle="Ground Surface Elevation" prompt="Enter a Ground Surface Elevation in feet. Field values must be between -300.0 and 9999.9." sqref="J2:J280" xr:uid="{B4608CAC-641E-495E-AAEE-E5697F9C8511}">
      <formula1>-300</formula1>
      <formula2>9999.9</formula2>
    </dataValidation>
    <dataValidation type="textLength" operator="lessThanOrEqual" allowBlank="1" showInputMessage="1" showErrorMessage="1" errorTitle="SMC Comments" error="Maximum length of 4000 characters." promptTitle="SMC Comments" prompt="Enter any Sustainable Management Criteria comments. If no Interim Milestone data was provided, a comment is required. Maximum length is 4000 characters." sqref="AM2:AM280" xr:uid="{A82A00CF-B89D-4446-8590-8E5CF8F03B93}">
      <formula1>4000</formula1>
    </dataValidation>
    <dataValidation allowBlank="1" showInputMessage="1" showErrorMessage="1" errorTitle="Minimum Threshold" error="Enter a Minimum Threshold. Field values must be numeric." promptTitle="Minimum Threshold" prompt="Enter the target groundwater elevation, in feet relative to NAVD88, for the well's Minimum Threshold. Field values must be numeric." sqref="AL2:AL280" xr:uid="{369ACC6F-1B8E-452A-BE31-0F7C94BB9F1C}"/>
    <dataValidation allowBlank="1" showInputMessage="1" showErrorMessage="1" errorTitle="Measurable Objective" error="Enter a Measurable Objective. Field values must be numeric." promptTitle="Measurable Objective" prompt="Enter the target groundwater elevation, in feet relative to NAVD88, for the well's Measurable Objective. Field values must be numeric." sqref="AK2:AK280" xr:uid="{71A5D261-19AE-4F4F-9442-5137B1A59D35}"/>
    <dataValidation allowBlank="1" showInputMessage="1" showErrorMessage="1" errorTitle="15-Year Interim Milestone" error="Enter a 15-Year Interim Milestone. Field values must be numeric." promptTitle="15-Year Interim Milestone" prompt="Enter the target groundwater elevation, in feet relative to NAVD88, for the well's 15-Year Interim Milestone. Field values must be numeric._x000a__x000a_If Interim Milestones were not defined an explanation in the comments field is required." sqref="AJ2:AJ280" xr:uid="{0C42933E-75D0-4BD9-A429-D602050F3864}"/>
    <dataValidation allowBlank="1" showInputMessage="1" showErrorMessage="1" errorTitle="10-Year Interim Milestone" error="Enter a 10-Year Interim Milestone. Field values must be numeric." promptTitle="10-Year Interim Milestone" prompt="Enter the target groundwater elevation, in feet relative to NAVD88, for the well's 10-Year Interim Milestone. Field values must be numeric._x000a__x000a_If Interim Milestones were not defined an explanation in the comments field is required." sqref="AI2:AI280" xr:uid="{D6980427-D234-4CC6-9349-92D63495DBE1}"/>
    <dataValidation allowBlank="1" showInputMessage="1" showErrorMessage="1" errorTitle="5-Year Interim Milestone" error="Enter a 5-Year Interim Milestone. Field values must be numeric." promptTitle="5-Year Interim Milestone" prompt="Enter the target groundwater elevation, in feet relative to NAVD88, for the well's 5-Year Interim Milestone. Field values must be numeric._x000a__x000a_If Interim Milestones were not defined an explanation in the comments field is required." sqref="AH2:AH280" xr:uid="{11ACA108-DC7F-4E26-9AC8-74F38AC964C0}"/>
    <dataValidation type="date" operator="greaterThan" allowBlank="1" showInputMessage="1" showErrorMessage="1" errorTitle="Start Date" error="Enter a Start Date. Required format is mm/dd/yyyy." promptTitle="Start Date" prompt="Enter the initial date of GSP implementation. This will be used to calculate the Interim Milestone and Measurable Objective dates. Required format is mm/dd/yyyy." sqref="AG2:AG280" xr:uid="{5C872CF9-EB3C-4FBE-9C17-0210C0BC0714}">
      <formula1>43466</formula1>
    </dataValidation>
    <dataValidation type="textLength" allowBlank="1" showInputMessage="1" showErrorMessage="1" errorTitle="Reference Point Description" error="Enter a Reference Point Description. Maximum length is 100 characters." promptTitle="Reference Point Description" prompt="Enter a Reference Point Description. Maximum length is 100 characters." sqref="I2:I280" xr:uid="{81B66A38-E3B2-43CA-B60B-D687FD6E3479}">
      <formula1>0</formula1>
      <formula2>100</formula2>
    </dataValidation>
    <dataValidation type="textLength" allowBlank="1" showInputMessage="1" showErrorMessage="1" errorTitle="Principal Aquifer" error="Enter a Principal Aquifer. Maximum length is 1000 characters." promptTitle="Principal Aquifer" prompt="Enter a Principal Aquifer. Maximum length is 1000 characters." sqref="R2:R280" xr:uid="{D83460B6-F7FA-49C2-95B7-5EA8AF93E98B}">
      <formula1>0</formula1>
      <formula2>1000</formula2>
    </dataValidation>
    <dataValidation type="textLength" allowBlank="1" showInputMessage="1" showErrorMessage="1" errorTitle="Local Well Name" error="Enter a Local Well Name. Maximum length is 20 characters." promptTitle="Local Well Name" prompt="Enter a Local Well Name. Maximum length is 20 characters." sqref="E2:E280" xr:uid="{E44BFE83-A062-47FE-889A-5DA27BFDAA93}">
      <formula1>0</formula1>
      <formula2>20</formula2>
    </dataValidation>
    <dataValidation type="textLength" allowBlank="1" showInputMessage="1" showErrorMessage="1" errorTitle="State Well Number" error="Enter a State Well Number. Required format is ##L##L##L###L." promptTitle="State Well Number" prompt="Enter a State Well Number. Required format is ##L##L##L###L." sqref="F2:F280" xr:uid="{416B3F37-4A80-4FE6-ACF3-92CC3742C4AA}">
      <formula1>0</formula1>
      <formula2>13</formula2>
    </dataValidation>
    <dataValidation type="decimal" allowBlank="1" showInputMessage="1" showErrorMessage="1" errorTitle="Reference Point Elevation" error="Enter a Reference Point Elevation in feet. Field values must be between -300.0 and 10000.0." promptTitle="Reference Point Elevation " prompt="Enter a Reference Point Elevation in feet. Field values must be between -300.0 and 10000.0." sqref="H2:H280" xr:uid="{4B41C268-CCE1-4C60-9721-6A855870EA47}">
      <formula1>-300</formula1>
      <formula2>10000</formula2>
    </dataValidation>
    <dataValidation type="whole" allowBlank="1" showInputMessage="1" showErrorMessage="1" errorTitle="Well Depth" error="Enter a Well Depth in feet below ground surface. Field values must be between 0 and 3000." promptTitle="Well Depth" prompt="Enter a Well Depth in feet below ground surface. Field values must be between 0 and 3000." sqref="T2:T280" xr:uid="{28673E84-F24A-41CD-83CD-753928ABA028}">
      <formula1>0</formula1>
      <formula2>3000</formula2>
    </dataValidation>
    <dataValidation allowBlank="1" showInputMessage="1" showErrorMessage="1" errorTitle="Well Completion Report Number" error="Enter a Well Completion Report Number." promptTitle="Well Completion Report Number" prompt="Enter a Well Completion Report Number." sqref="U2:U280" xr:uid="{C2DAF789-BF2E-4354-A33C-B03EF13074FE}"/>
    <dataValidation type="textLength" allowBlank="1" showInputMessage="1" showErrorMessage="1" errorTitle="Well Location Description" error="Enter a Well Location Description. Maximum length is 250 characters." promptTitle="Well Location Description" prompt="Enter a Well Location Description. Maximum length is 250 characters." sqref="V2:V280" xr:uid="{8950C308-9FBB-4A57-93AB-4122CA3A77AB}">
      <formula1>0</formula1>
      <formula2>250</formula2>
    </dataValidation>
    <dataValidation type="textLength" allowBlank="1" showInputMessage="1" showErrorMessage="1" errorTitle="Additional Comments" error="Enter any Additional Comments. Required if 'Other' is selected for Coordinates or Elevation Method. Maximum length is 250 characters." promptTitle="Additional Comments" prompt="Enter any Additional Comments. Required if 'Other' is selected for Coordinates or Elevation Method. Maximum length is 250 characters." sqref="W2:W280" xr:uid="{95122548-812E-4204-A7DD-8FBC78CA312C}">
      <formula1>0</formula1>
      <formula2>250</formula2>
    </dataValidation>
    <dataValidation type="whole" allowBlank="1" showInputMessage="1" showErrorMessage="1" errorTitle="Top Perforation - Interval 1" error="Enter a Top Perforation in feet below ground surface. Field values must be between 0 and 3000. " promptTitle="Top Perforation - Interval 1" prompt="Enter a Top Perforation in feet below ground surface. Field values must be between 0 and 3000. " sqref="Y2:Y280" xr:uid="{B6C63CD0-9C91-4370-8E39-7E96CC8A7B0B}">
      <formula1>0</formula1>
      <formula2>3000</formula2>
    </dataValidation>
    <dataValidation type="whole" allowBlank="1" showInputMessage="1" showErrorMessage="1" errorTitle="Bottom Perforation - Interval 1" error="Enter a Bottom Perforation in feet below ground surface. Field values must be between 0 and 3000." promptTitle="Bottom Perforation - Interval 1" prompt="Enter a Bottom Perforation in feet below ground surface. Field values must be between 0 and 3000." sqref="Z2:Z280" xr:uid="{44E9CEFD-0754-4FAB-9312-48ECCBC849FA}">
      <formula1>0</formula1>
      <formula2>3000</formula2>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CB5288-7879-4BC6-B1D7-22480DB7D339}">
  <dimension ref="A1"/>
  <sheetViews>
    <sheetView workbookViewId="0">
      <selection activeCell="F19" sqref="F19"/>
    </sheetView>
  </sheetViews>
  <sheetFormatPr defaultRowHeight="14.5" x14ac:dyDescent="0.3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Cody Ferguson</dc:creator>
  <cp:lastModifiedBy>Cody Ferguson</cp:lastModifiedBy>
  <dcterms:created xsi:type="dcterms:W3CDTF">2015-06-05T18:17:20Z</dcterms:created>
  <dcterms:modified xsi:type="dcterms:W3CDTF">2026-07-09T01:43:11Z</dcterms:modified>
</cp:coreProperties>
</file>